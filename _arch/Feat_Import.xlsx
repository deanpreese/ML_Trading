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an/Documents/source/OMS/Strategy.EXP/"/>
    </mc:Choice>
  </mc:AlternateContent>
  <xr:revisionPtr revIDLastSave="0" documentId="13_ncr:1_{A52AE446-7E41-A040-81EE-12438F026D80}" xr6:coauthVersionLast="47" xr6:coauthVersionMax="47" xr10:uidLastSave="{00000000-0000-0000-0000-000000000000}"/>
  <bookViews>
    <workbookView xWindow="9600" yWindow="2140" windowWidth="28040" windowHeight="16240" activeTab="2" xr2:uid="{05A42074-7068-8940-8818-09045A99FC51}"/>
  </bookViews>
  <sheets>
    <sheet name="IND_F" sheetId="1" r:id="rId1"/>
    <sheet name="Refried" sheetId="4" r:id="rId2"/>
    <sheet name="LUCKY_F" sheetId="2" r:id="rId3"/>
    <sheet name="IND_LSTM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8" i="4" l="1"/>
  <c r="O105" i="4"/>
  <c r="O100" i="4"/>
  <c r="O95" i="4"/>
  <c r="I115" i="4"/>
  <c r="I114" i="4"/>
  <c r="I111" i="4"/>
  <c r="I110" i="4"/>
  <c r="I106" i="4"/>
  <c r="I104" i="4"/>
  <c r="I103" i="4"/>
  <c r="I100" i="4"/>
  <c r="I99" i="4"/>
  <c r="I98" i="4"/>
  <c r="I97" i="4"/>
  <c r="I95" i="4"/>
  <c r="I91" i="4"/>
  <c r="I90" i="4"/>
  <c r="I88" i="4"/>
  <c r="M72" i="4"/>
  <c r="M67" i="4"/>
  <c r="M64" i="4"/>
  <c r="M60" i="4"/>
  <c r="M58" i="4"/>
  <c r="M57" i="4"/>
  <c r="M53" i="4"/>
  <c r="M51" i="4"/>
  <c r="M49" i="4"/>
  <c r="M42" i="4"/>
  <c r="M38" i="4"/>
  <c r="M36" i="4"/>
  <c r="M35" i="4"/>
  <c r="M32" i="4"/>
  <c r="M27" i="4"/>
  <c r="M25" i="4"/>
  <c r="M24" i="4"/>
  <c r="M22" i="4"/>
  <c r="M13" i="4"/>
  <c r="M8" i="4"/>
  <c r="H78" i="4"/>
  <c r="H76" i="4"/>
  <c r="H75" i="4"/>
  <c r="H72" i="4"/>
  <c r="H69" i="4"/>
  <c r="H68" i="4"/>
  <c r="H66" i="4"/>
  <c r="H62" i="4"/>
  <c r="H61" i="4"/>
  <c r="H59" i="4"/>
  <c r="H54" i="4"/>
  <c r="H52" i="4"/>
  <c r="H51" i="4"/>
  <c r="H46" i="4"/>
  <c r="H45" i="4"/>
  <c r="H41" i="4"/>
  <c r="H39" i="4"/>
  <c r="H37" i="4"/>
  <c r="H32" i="4"/>
  <c r="H31" i="4"/>
  <c r="H30" i="4"/>
  <c r="H28" i="4"/>
  <c r="H23" i="4"/>
  <c r="H21" i="4"/>
  <c r="H19" i="4"/>
  <c r="H15" i="4"/>
  <c r="H14" i="4"/>
  <c r="H6" i="4"/>
</calcChain>
</file>

<file path=xl/sharedStrings.xml><?xml version="1.0" encoding="utf-8"?>
<sst xmlns="http://schemas.openxmlformats.org/spreadsheetml/2006/main" count="916" uniqueCount="214">
  <si>
    <t>SDKC7</t>
  </si>
  <si>
    <t>BB7</t>
  </si>
  <si>
    <t>RSI14</t>
  </si>
  <si>
    <t>OBV</t>
  </si>
  <si>
    <t>LR921</t>
  </si>
  <si>
    <t>STOK15657</t>
  </si>
  <si>
    <t>STOK7217</t>
  </si>
  <si>
    <t>VOSC9</t>
  </si>
  <si>
    <t>SDKC14</t>
  </si>
  <si>
    <t>RSI3</t>
  </si>
  <si>
    <t>BB14</t>
  </si>
  <si>
    <t>LR79</t>
  </si>
  <si>
    <t>LR310</t>
  </si>
  <si>
    <t>STOD15657</t>
  </si>
  <si>
    <t>LR813</t>
  </si>
  <si>
    <t>VOSC7</t>
  </si>
  <si>
    <t>ROC9</t>
  </si>
  <si>
    <t>ADX7</t>
  </si>
  <si>
    <t>VOSC20</t>
  </si>
  <si>
    <t>STOD7217</t>
  </si>
  <si>
    <t>ADX20</t>
  </si>
  <si>
    <t>LR2155</t>
  </si>
  <si>
    <t>ROC7</t>
  </si>
  <si>
    <t>SDKC9</t>
  </si>
  <si>
    <t>BB9</t>
  </si>
  <si>
    <t>LR1033</t>
  </si>
  <si>
    <t>ADX9</t>
  </si>
  <si>
    <t>ADX14</t>
  </si>
  <si>
    <t>SDBB20</t>
  </si>
  <si>
    <t>CCI7</t>
  </si>
  <si>
    <t>ATR2</t>
  </si>
  <si>
    <t>Feature Importances</t>
  </si>
  <si>
    <t>SDBB91</t>
  </si>
  <si>
    <t>RSI</t>
  </si>
  <si>
    <t>STOK1</t>
  </si>
  <si>
    <t>ATR33</t>
  </si>
  <si>
    <t>ROC</t>
  </si>
  <si>
    <t>SDLR310</t>
  </si>
  <si>
    <t>ATR32</t>
  </si>
  <si>
    <t>SDKC91</t>
  </si>
  <si>
    <t>ATR21</t>
  </si>
  <si>
    <t>Feature</t>
  </si>
  <si>
    <t>Importances</t>
  </si>
  <si>
    <t>ATR3</t>
  </si>
  <si>
    <t>REMA</t>
  </si>
  <si>
    <t>SDBB9</t>
  </si>
  <si>
    <t>Permutation</t>
  </si>
  <si>
    <t>Importance</t>
  </si>
  <si>
    <t>SDLR921</t>
  </si>
  <si>
    <t>SD813</t>
  </si>
  <si>
    <t>ADX</t>
  </si>
  <si>
    <t>SDLR9</t>
  </si>
  <si>
    <t>SD79</t>
  </si>
  <si>
    <t>SDLR2155</t>
  </si>
  <si>
    <t>SD921</t>
  </si>
  <si>
    <t>Ensemble</t>
  </si>
  <si>
    <t>Perf</t>
  </si>
  <si>
    <t>Ave:</t>
  </si>
  <si>
    <t>Maj:</t>
  </si>
  <si>
    <t>CCC</t>
  </si>
  <si>
    <t>Total:</t>
  </si>
  <si>
    <t>Filtered Ensemble</t>
  </si>
  <si>
    <t xml:space="preserve">No filter </t>
  </si>
  <si>
    <t>No Filter</t>
  </si>
  <si>
    <t>'outputC']</t>
  </si>
  <si>
    <t xml:space="preserve">listX2 = ['CCI20', 'ATR2', 'CCI9', 'RSI3', 'RSI9', 'VOSC7', 'STOK15657', 'STOD15657', 'ADX9', </t>
  </si>
  <si>
    <t>'LR2155', 'BB7','LR1033', 'ROC9', 'SDKC9', 'BB14','LR813','outputC']</t>
  </si>
  <si>
    <t xml:space="preserve"># 'ADX20', # 'STOD7217', # 'STOK7217', # 'SDKC9', </t>
  </si>
  <si>
    <t xml:space="preserve"># 'RSI14',# 'VOSC9', # 'SDKC14', # 'ADX14', </t>
  </si>
  <si>
    <t>#'LR813', #'BB9', #'ROC7', #'SDKC14', #'LR310',</t>
  </si>
  <si>
    <t xml:space="preserve">listX = [ 'CCI20', 'ATR2', 'CCI9', 'RSI3', 'RSI9', 'VOSC7', 'STOK15657', </t>
  </si>
  <si>
    <t>'STOD15657', 'LR1033', 'ROC9', 'SDKC9', 'BB14',</t>
  </si>
  <si>
    <t>SDKC9seq</t>
  </si>
  <si>
    <t>ATR3seq</t>
  </si>
  <si>
    <t>ATR2seq</t>
  </si>
  <si>
    <t>ATR2seq2</t>
  </si>
  <si>
    <t>ATR3seq3</t>
  </si>
  <si>
    <t>RSIseq</t>
  </si>
  <si>
    <t>STOD1565seq1</t>
  </si>
  <si>
    <t>CDseq</t>
  </si>
  <si>
    <t>ATR3seq1</t>
  </si>
  <si>
    <t>ATR2seq1</t>
  </si>
  <si>
    <t>STOD1565seq2</t>
  </si>
  <si>
    <t>SDBB20seq</t>
  </si>
  <si>
    <t>SDBB20seq1</t>
  </si>
  <si>
    <t>CDVseq4</t>
  </si>
  <si>
    <t>ATR3seq2</t>
  </si>
  <si>
    <t>STOD721seq2</t>
  </si>
  <si>
    <t>TSIseq2</t>
  </si>
  <si>
    <t>RSIseq1</t>
  </si>
  <si>
    <t>REMAseq1</t>
  </si>
  <si>
    <t>SD79seq</t>
  </si>
  <si>
    <t>FTseq3</t>
  </si>
  <si>
    <t>SDBB9seq1</t>
  </si>
  <si>
    <t>ADXseq3</t>
  </si>
  <si>
    <t>ROCseq3</t>
  </si>
  <si>
    <t>SDLR9seq2</t>
  </si>
  <si>
    <t>TSIseq</t>
  </si>
  <si>
    <t>STOD721seq</t>
  </si>
  <si>
    <t>ROCseq2</t>
  </si>
  <si>
    <t>FTseq</t>
  </si>
  <si>
    <t>STOK721seq1</t>
  </si>
  <si>
    <t>STOK721seq</t>
  </si>
  <si>
    <t>STOD1565seq</t>
  </si>
  <si>
    <t>STOK721seq3</t>
  </si>
  <si>
    <t>STOK1565seq</t>
  </si>
  <si>
    <t>REMAseq4</t>
  </si>
  <si>
    <t>CDVseq2</t>
  </si>
  <si>
    <t>LDVseq7</t>
  </si>
  <si>
    <t>HDVseq1</t>
  </si>
  <si>
    <t>STOK721seq2</t>
  </si>
  <si>
    <t>REMAseq2</t>
  </si>
  <si>
    <t>TSIseq3</t>
  </si>
  <si>
    <t>SD813seq1</t>
  </si>
  <si>
    <t>LDVseq4</t>
  </si>
  <si>
    <t>ROCseq1</t>
  </si>
  <si>
    <t>SD813seq</t>
  </si>
  <si>
    <t>RSIseq3</t>
  </si>
  <si>
    <t>SDBB9seq2</t>
  </si>
  <si>
    <t>REMAseq</t>
  </si>
  <si>
    <t>FTseq2</t>
  </si>
  <si>
    <t>SDLR310seq</t>
  </si>
  <si>
    <t>SDKC9seq1</t>
  </si>
  <si>
    <t>SDLR9seq</t>
  </si>
  <si>
    <t>FTseq6</t>
  </si>
  <si>
    <t>SD79seq2</t>
  </si>
  <si>
    <t>STOK721seq4</t>
  </si>
  <si>
    <t>ADXseq</t>
  </si>
  <si>
    <t>HDVseq</t>
  </si>
  <si>
    <t>ATR3seq4</t>
  </si>
  <si>
    <t>HLCseq12</t>
  </si>
  <si>
    <t>REMAseq3</t>
  </si>
  <si>
    <t>ADXseq4</t>
  </si>
  <si>
    <t>CDVseq5</t>
  </si>
  <si>
    <t>STOD721seq3</t>
  </si>
  <si>
    <t>LDVseq6</t>
  </si>
  <si>
    <t>LDVseq5</t>
  </si>
  <si>
    <t>SDLR921seq3</t>
  </si>
  <si>
    <t>SDLR2155seq2</t>
  </si>
  <si>
    <t>SDBB9seq</t>
  </si>
  <si>
    <t>ADXseq1</t>
  </si>
  <si>
    <t>CDseq9</t>
  </si>
  <si>
    <t>HDVseq5</t>
  </si>
  <si>
    <t>TSIseq4</t>
  </si>
  <si>
    <t>HDVseq7</t>
  </si>
  <si>
    <t>CDseq4</t>
  </si>
  <si>
    <t>STOD1565seq3</t>
  </si>
  <si>
    <t>SDKC9seq3</t>
  </si>
  <si>
    <t>CDVseq7</t>
  </si>
  <si>
    <t>SD79seq1</t>
  </si>
  <si>
    <t>HLCseq</t>
  </si>
  <si>
    <t>LDVseq2</t>
  </si>
  <si>
    <t>SD921seq2</t>
  </si>
  <si>
    <t>HDVseq2</t>
  </si>
  <si>
    <t>SDLR921seq2</t>
  </si>
  <si>
    <t>CDseq11</t>
  </si>
  <si>
    <t>SDLR2155seq3</t>
  </si>
  <si>
    <t>SDLR2155seq</t>
  </si>
  <si>
    <t>CDseq7</t>
  </si>
  <si>
    <t>HLCseq10</t>
  </si>
  <si>
    <t>LDVseq</t>
  </si>
  <si>
    <t>SDLR9seq1</t>
  </si>
  <si>
    <t>HDVseq6</t>
  </si>
  <si>
    <t>SD813seq2</t>
  </si>
  <si>
    <t>CDseq14</t>
  </si>
  <si>
    <t>SDLR921seq</t>
  </si>
  <si>
    <t>SDLR9seq3</t>
  </si>
  <si>
    <t>CDseq10</t>
  </si>
  <si>
    <t>CDseq5</t>
  </si>
  <si>
    <t>CDseq13</t>
  </si>
  <si>
    <t>CDVseq1</t>
  </si>
  <si>
    <t>CDseq1</t>
  </si>
  <si>
    <t>HLCseq14</t>
  </si>
  <si>
    <t>LDVseq1</t>
  </si>
  <si>
    <t>HLCseq11</t>
  </si>
  <si>
    <t>CDseq15</t>
  </si>
  <si>
    <t>HLCseq9</t>
  </si>
  <si>
    <t>CDseq12</t>
  </si>
  <si>
    <t>HLCseq3</t>
  </si>
  <si>
    <t>HLCseq7</t>
  </si>
  <si>
    <t>CDseq2</t>
  </si>
  <si>
    <t>HLCseq6</t>
  </si>
  <si>
    <t>HLCseq15</t>
  </si>
  <si>
    <t>SDLR310seq1</t>
  </si>
  <si>
    <t>CDseq16</t>
  </si>
  <si>
    <t>HLCseq2</t>
  </si>
  <si>
    <t>SDLR310seq2</t>
  </si>
  <si>
    <t>CDVseq</t>
  </si>
  <si>
    <t>HLCseq8</t>
  </si>
  <si>
    <t>HLCseq1</t>
  </si>
  <si>
    <t>HLCseq5</t>
  </si>
  <si>
    <t>HLCseq4</t>
  </si>
  <si>
    <t>CDseq3</t>
  </si>
  <si>
    <t>HDVseq4</t>
  </si>
  <si>
    <t>SD921seq1</t>
  </si>
  <si>
    <t>SD921seq</t>
  </si>
  <si>
    <t>HLCseq13</t>
  </si>
  <si>
    <t>SDLR921seq1</t>
  </si>
  <si>
    <t>SDLR2155seq1</t>
  </si>
  <si>
    <t>CDseq8</t>
  </si>
  <si>
    <t>CDVseq6</t>
  </si>
  <si>
    <t>SDLR310seq3</t>
  </si>
  <si>
    <t>STOD1565seq4</t>
  </si>
  <si>
    <t>ADXseq5</t>
  </si>
  <si>
    <t>STOK1565seq1</t>
  </si>
  <si>
    <t>STOK1565seq3</t>
  </si>
  <si>
    <t>ATR2seq3</t>
  </si>
  <si>
    <t>FTseq7</t>
  </si>
  <si>
    <t>ADXseq2</t>
  </si>
  <si>
    <t>ROCseq4</t>
  </si>
  <si>
    <t>RSIseq4</t>
  </si>
  <si>
    <t>RSIseq2</t>
  </si>
  <si>
    <t>SDBB9seq3</t>
  </si>
  <si>
    <t>STOK1565seq4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</si>
</sst>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Menl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1" fontId="0" fillId="0" borderId="0" xfId="0" applyNumberFormat="1"/>
    <xf numFmtId="0" fontId="0" fillId="3" borderId="0" xfId="0" applyFill="1"/>
    <xf numFmtId="0" fontId="0" fillId="0" borderId="0" xfId="0" applyFill="1"/>
    <xf numFmtId="0" fontId="1" fillId="0" borderId="0" xfId="0" applyFont="1" applyFill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462D2-154F-E14E-902D-7BB3C4C20791}">
  <dimension ref="C1:S59"/>
  <sheetViews>
    <sheetView topLeftCell="A33" workbookViewId="0">
      <selection activeCell="L51" sqref="L51"/>
    </sheetView>
  </sheetViews>
  <sheetFormatPr baseColWidth="10" defaultRowHeight="16" x14ac:dyDescent="0.2"/>
  <sheetData>
    <row r="1" spans="3:19" x14ac:dyDescent="0.2">
      <c r="L1" t="s">
        <v>41</v>
      </c>
      <c r="M1" t="s">
        <v>42</v>
      </c>
    </row>
    <row r="2" spans="3:19" x14ac:dyDescent="0.2">
      <c r="C2" s="4" t="s">
        <v>0</v>
      </c>
      <c r="D2" s="4">
        <v>7.4550300836563096E-2</v>
      </c>
      <c r="E2" s="4"/>
      <c r="F2" s="4"/>
      <c r="G2" s="4" t="s">
        <v>1</v>
      </c>
      <c r="H2" s="4">
        <v>182</v>
      </c>
      <c r="I2" s="4"/>
      <c r="J2" s="4"/>
      <c r="K2" s="4"/>
      <c r="L2" s="4" t="s">
        <v>8</v>
      </c>
      <c r="M2">
        <v>5.7726363758063099</v>
      </c>
      <c r="P2" s="4"/>
      <c r="Q2" s="4"/>
      <c r="R2" s="4"/>
      <c r="S2" s="4"/>
    </row>
    <row r="3" spans="3:19" x14ac:dyDescent="0.2">
      <c r="C3" s="4" t="s">
        <v>1</v>
      </c>
      <c r="D3" s="4">
        <v>5.53501918911933E-2</v>
      </c>
      <c r="E3" s="4"/>
      <c r="F3" s="4"/>
      <c r="G3" s="4" t="s">
        <v>11</v>
      </c>
      <c r="H3" s="4">
        <v>172</v>
      </c>
      <c r="I3" s="4"/>
      <c r="J3" s="4"/>
      <c r="K3" s="4"/>
      <c r="L3" s="3" t="s">
        <v>6</v>
      </c>
      <c r="M3">
        <v>5.5893528171436397</v>
      </c>
      <c r="P3" s="4"/>
      <c r="Q3" s="4"/>
      <c r="R3" s="4"/>
      <c r="S3" s="4"/>
    </row>
    <row r="4" spans="3:19" x14ac:dyDescent="0.2">
      <c r="C4" s="4" t="s">
        <v>2</v>
      </c>
      <c r="D4" s="4">
        <v>5.4937630891799899E-2</v>
      </c>
      <c r="E4" s="4"/>
      <c r="F4" s="4"/>
      <c r="G4" s="4" t="s">
        <v>5</v>
      </c>
      <c r="H4" s="4">
        <v>166</v>
      </c>
      <c r="I4" s="4"/>
      <c r="J4" s="4"/>
      <c r="K4" s="4"/>
      <c r="L4" s="4" t="s">
        <v>12</v>
      </c>
      <c r="M4">
        <v>5.4350027152064104</v>
      </c>
      <c r="P4" s="4"/>
      <c r="Q4" s="4"/>
      <c r="R4" s="4"/>
      <c r="S4" s="4"/>
    </row>
    <row r="5" spans="3:19" x14ac:dyDescent="0.2">
      <c r="C5" s="4" t="s">
        <v>3</v>
      </c>
      <c r="D5" s="4">
        <v>5.2264954894781099E-2</v>
      </c>
      <c r="E5" s="4"/>
      <c r="F5" s="4"/>
      <c r="G5" s="3" t="s">
        <v>6</v>
      </c>
      <c r="H5" s="4">
        <v>163</v>
      </c>
      <c r="I5" s="4"/>
      <c r="J5" s="4"/>
      <c r="K5" s="4"/>
      <c r="L5" s="4" t="s">
        <v>29</v>
      </c>
      <c r="M5">
        <v>5.40543461493791</v>
      </c>
      <c r="P5" s="4"/>
      <c r="Q5" s="4"/>
      <c r="R5" s="4"/>
      <c r="S5" s="4"/>
    </row>
    <row r="6" spans="3:19" x14ac:dyDescent="0.2">
      <c r="C6" s="4" t="s">
        <v>4</v>
      </c>
      <c r="D6" s="4">
        <v>5.0640668720006901E-2</v>
      </c>
      <c r="E6" s="4"/>
      <c r="F6" s="4"/>
      <c r="G6" s="4" t="s">
        <v>15</v>
      </c>
      <c r="H6" s="4">
        <v>161</v>
      </c>
      <c r="I6" s="4"/>
      <c r="J6" s="4"/>
      <c r="K6" s="4"/>
      <c r="L6" s="4" t="s">
        <v>15</v>
      </c>
      <c r="M6">
        <v>5.3937381248747798</v>
      </c>
      <c r="P6" s="4"/>
      <c r="Q6" s="4"/>
      <c r="R6" s="4"/>
      <c r="S6" s="4"/>
    </row>
    <row r="7" spans="3:19" x14ac:dyDescent="0.2">
      <c r="C7" s="4" t="s">
        <v>5</v>
      </c>
      <c r="D7" s="4">
        <v>4.9985952675342497E-2</v>
      </c>
      <c r="E7" s="4"/>
      <c r="F7" s="4"/>
      <c r="G7" s="4" t="s">
        <v>16</v>
      </c>
      <c r="H7" s="4">
        <v>158</v>
      </c>
      <c r="I7" s="4"/>
      <c r="J7" s="4"/>
      <c r="K7" s="4"/>
      <c r="L7" s="4" t="s">
        <v>30</v>
      </c>
      <c r="M7">
        <v>5.3823659671146196</v>
      </c>
      <c r="P7" s="4"/>
      <c r="Q7" s="4"/>
      <c r="R7" s="4"/>
      <c r="S7" s="4"/>
    </row>
    <row r="8" spans="3:19" x14ac:dyDescent="0.2">
      <c r="C8" s="3" t="s">
        <v>6</v>
      </c>
      <c r="D8" s="4">
        <v>4.94795329868793E-2</v>
      </c>
      <c r="E8" s="4"/>
      <c r="F8" s="4"/>
      <c r="G8" s="4" t="s">
        <v>12</v>
      </c>
      <c r="H8" s="4">
        <v>157</v>
      </c>
      <c r="I8" s="4"/>
      <c r="J8" s="4"/>
      <c r="K8" s="4"/>
      <c r="L8" s="4" t="s">
        <v>16</v>
      </c>
      <c r="M8">
        <v>5.3564566263716502</v>
      </c>
      <c r="P8" s="4"/>
      <c r="Q8" s="4"/>
      <c r="R8" s="4"/>
      <c r="S8" s="4"/>
    </row>
    <row r="9" spans="3:19" x14ac:dyDescent="0.2">
      <c r="C9" s="4" t="s">
        <v>7</v>
      </c>
      <c r="D9" s="4">
        <v>4.9431469291448503E-2</v>
      </c>
      <c r="E9" s="4"/>
      <c r="F9" s="4"/>
      <c r="G9" s="4" t="s">
        <v>17</v>
      </c>
      <c r="H9" s="4">
        <v>157</v>
      </c>
      <c r="I9" s="4"/>
      <c r="J9" s="4"/>
      <c r="K9" s="4"/>
      <c r="L9" s="4" t="s">
        <v>20</v>
      </c>
      <c r="M9">
        <v>5.3418608716949896</v>
      </c>
      <c r="P9" s="4"/>
      <c r="Q9" s="4"/>
      <c r="R9" s="4"/>
      <c r="S9" s="4"/>
    </row>
    <row r="10" spans="3:19" x14ac:dyDescent="0.2">
      <c r="C10" s="4" t="s">
        <v>8</v>
      </c>
      <c r="D10" s="4">
        <v>4.8337239772081299E-2</v>
      </c>
      <c r="E10" s="4"/>
      <c r="F10" s="4"/>
      <c r="G10" s="4" t="s">
        <v>13</v>
      </c>
      <c r="H10" s="4">
        <v>157</v>
      </c>
      <c r="I10" s="4"/>
      <c r="J10" s="4"/>
      <c r="K10" s="4"/>
      <c r="L10" s="4" t="s">
        <v>18</v>
      </c>
      <c r="M10">
        <v>5.2663018442704299</v>
      </c>
      <c r="P10" s="4"/>
      <c r="Q10" s="4"/>
      <c r="R10" s="4"/>
      <c r="S10" s="4"/>
    </row>
    <row r="11" spans="3:19" x14ac:dyDescent="0.2">
      <c r="C11" s="4" t="s">
        <v>9</v>
      </c>
      <c r="D11" s="4">
        <v>4.8165015876293099E-2</v>
      </c>
      <c r="E11" s="4"/>
      <c r="F11" s="4"/>
      <c r="G11" s="4" t="s">
        <v>18</v>
      </c>
      <c r="H11" s="4">
        <v>150</v>
      </c>
      <c r="I11" s="4"/>
      <c r="J11" s="4"/>
      <c r="K11" s="4"/>
      <c r="L11" s="4" t="s">
        <v>19</v>
      </c>
      <c r="M11">
        <v>5.1131044369434697</v>
      </c>
      <c r="P11" s="4"/>
      <c r="Q11" s="4"/>
      <c r="R11" s="4"/>
      <c r="S11" s="4"/>
    </row>
    <row r="12" spans="3:19" x14ac:dyDescent="0.2">
      <c r="C12" s="4"/>
      <c r="D12" s="4"/>
      <c r="E12" s="4"/>
      <c r="F12" s="4"/>
      <c r="G12" s="4"/>
      <c r="H12" s="4"/>
      <c r="I12" s="4"/>
      <c r="J12" s="4"/>
      <c r="K12" s="4"/>
      <c r="L12" s="4"/>
      <c r="P12" s="4"/>
      <c r="Q12" s="4"/>
      <c r="R12" s="4"/>
      <c r="S12" s="4"/>
    </row>
    <row r="14" spans="3:19" x14ac:dyDescent="0.2">
      <c r="C14" t="s">
        <v>46</v>
      </c>
      <c r="D14" t="s">
        <v>47</v>
      </c>
      <c r="H14" t="s">
        <v>46</v>
      </c>
      <c r="I14" t="s">
        <v>47</v>
      </c>
      <c r="L14" t="s">
        <v>46</v>
      </c>
      <c r="M14" t="s">
        <v>47</v>
      </c>
    </row>
    <row r="15" spans="3:19" x14ac:dyDescent="0.2">
      <c r="C15" s="4" t="s">
        <v>23</v>
      </c>
      <c r="D15" s="4">
        <v>6.1020885215345797E-3</v>
      </c>
      <c r="E15" s="4">
        <v>8.3916349269678395E-4</v>
      </c>
      <c r="H15" t="s">
        <v>17</v>
      </c>
      <c r="I15">
        <v>4.9394221808015002E-3</v>
      </c>
      <c r="J15">
        <v>7.8859618192970505E-4</v>
      </c>
      <c r="L15" t="s">
        <v>17</v>
      </c>
      <c r="M15">
        <v>2.50867034360537E-3</v>
      </c>
      <c r="N15">
        <v>8.5595217083204501E-4</v>
      </c>
    </row>
    <row r="16" spans="3:19" x14ac:dyDescent="0.2">
      <c r="C16" s="4" t="s">
        <v>24</v>
      </c>
      <c r="D16" s="4">
        <v>5.7277741280002898E-3</v>
      </c>
      <c r="E16" s="4">
        <v>1.3141233086804099E-3</v>
      </c>
      <c r="H16" t="s">
        <v>28</v>
      </c>
      <c r="I16">
        <v>3.0082654729347699E-3</v>
      </c>
      <c r="J16">
        <v>7.6806501295878505E-4</v>
      </c>
      <c r="L16" s="3" t="s">
        <v>25</v>
      </c>
      <c r="M16">
        <v>2.1878294348617101E-3</v>
      </c>
      <c r="N16">
        <v>1.21117774293434E-3</v>
      </c>
    </row>
    <row r="17" spans="3:15" x14ac:dyDescent="0.2">
      <c r="C17" s="4" t="s">
        <v>8</v>
      </c>
      <c r="D17" s="4">
        <v>5.2358180679266501E-3</v>
      </c>
      <c r="E17" s="4">
        <v>6.0729591641569798E-4</v>
      </c>
      <c r="H17" t="s">
        <v>4</v>
      </c>
      <c r="I17">
        <v>2.3268604953172599E-3</v>
      </c>
      <c r="J17">
        <v>8.1634598270545402E-4</v>
      </c>
      <c r="L17" t="s">
        <v>27</v>
      </c>
      <c r="M17">
        <v>1.2772523795701099E-3</v>
      </c>
      <c r="N17">
        <v>1.10557576186871E-3</v>
      </c>
    </row>
    <row r="18" spans="3:15" x14ac:dyDescent="0.2">
      <c r="C18" s="4" t="s">
        <v>0</v>
      </c>
      <c r="D18" s="4">
        <v>4.4474661207278901E-3</v>
      </c>
      <c r="E18" s="4">
        <v>8.6457121608789298E-4</v>
      </c>
      <c r="H18" t="s">
        <v>22</v>
      </c>
      <c r="I18">
        <v>1.45142315860237E-3</v>
      </c>
      <c r="J18">
        <v>6.3193158666304601E-4</v>
      </c>
      <c r="L18" t="s">
        <v>12</v>
      </c>
      <c r="M18">
        <v>1.1091928559424499E-3</v>
      </c>
      <c r="N18">
        <v>9.01389455826539E-4</v>
      </c>
    </row>
    <row r="19" spans="3:15" x14ac:dyDescent="0.2">
      <c r="C19" s="3" t="s">
        <v>25</v>
      </c>
      <c r="D19" s="4">
        <v>4.2946847356118501E-3</v>
      </c>
      <c r="E19" s="4">
        <v>6.5938753729910104E-4</v>
      </c>
      <c r="H19" s="3" t="s">
        <v>14</v>
      </c>
      <c r="I19">
        <v>1.2207232670771301E-3</v>
      </c>
      <c r="J19">
        <v>5.73223459387864E-4</v>
      </c>
      <c r="L19" t="s">
        <v>11</v>
      </c>
      <c r="M19">
        <v>9.930790032542929E-4</v>
      </c>
      <c r="N19">
        <v>8.9240547375305098E-4</v>
      </c>
    </row>
    <row r="20" spans="3:15" x14ac:dyDescent="0.2">
      <c r="C20" s="3" t="s">
        <v>14</v>
      </c>
      <c r="D20" s="4">
        <v>3.5200831130735399E-3</v>
      </c>
      <c r="E20" s="4">
        <v>5.9389329690648005E-4</v>
      </c>
      <c r="H20" t="s">
        <v>26</v>
      </c>
      <c r="I20">
        <v>1.1962782454585799E-3</v>
      </c>
      <c r="J20">
        <v>6.3219194439708695E-4</v>
      </c>
      <c r="L20" t="s">
        <v>0</v>
      </c>
      <c r="M20">
        <v>4.8431699081787901E-4</v>
      </c>
      <c r="N20">
        <v>4.5074651642813899E-4</v>
      </c>
    </row>
    <row r="21" spans="3:15" x14ac:dyDescent="0.2">
      <c r="C21" s="4" t="s">
        <v>1</v>
      </c>
      <c r="D21" s="4">
        <v>3.50786060226425E-3</v>
      </c>
      <c r="E21" s="4">
        <v>7.9979851234402604E-4</v>
      </c>
      <c r="H21" t="s">
        <v>23</v>
      </c>
      <c r="I21">
        <v>1.13974913296565E-3</v>
      </c>
      <c r="J21">
        <v>6.3990418102558401E-4</v>
      </c>
      <c r="L21" t="s">
        <v>16</v>
      </c>
      <c r="M21">
        <v>1.75698592883488E-4</v>
      </c>
      <c r="N21">
        <v>8.3240621111179097E-4</v>
      </c>
    </row>
    <row r="22" spans="3:15" x14ac:dyDescent="0.2">
      <c r="C22" s="3" t="s">
        <v>21</v>
      </c>
      <c r="D22" s="4">
        <v>3.1396574641346102E-3</v>
      </c>
      <c r="E22" s="4">
        <v>5.4344877734655505E-4</v>
      </c>
      <c r="H22" s="3" t="s">
        <v>25</v>
      </c>
      <c r="I22">
        <v>1.0694696958122799E-3</v>
      </c>
      <c r="J22">
        <v>8.5273366758102404E-4</v>
      </c>
      <c r="L22" s="3" t="s">
        <v>14</v>
      </c>
      <c r="M22">
        <v>-2.5208928544140298E-4</v>
      </c>
      <c r="N22">
        <v>8.9845977039613696E-4</v>
      </c>
    </row>
    <row r="23" spans="3:15" x14ac:dyDescent="0.2">
      <c r="C23" s="4" t="s">
        <v>26</v>
      </c>
      <c r="D23" s="4">
        <v>3.1197958840695401E-3</v>
      </c>
      <c r="E23" s="4">
        <v>8.0574764585319004E-4</v>
      </c>
      <c r="H23" t="s">
        <v>11</v>
      </c>
      <c r="I23">
        <v>1.0496081157471901E-3</v>
      </c>
      <c r="J23">
        <v>7.9634283440968903E-4</v>
      </c>
      <c r="L23" t="s">
        <v>10</v>
      </c>
      <c r="M23">
        <v>-2.5361709929258E-4</v>
      </c>
      <c r="N23">
        <v>7.6589660367635604E-4</v>
      </c>
    </row>
    <row r="24" spans="3:15" x14ac:dyDescent="0.2">
      <c r="C24" s="4" t="s">
        <v>16</v>
      </c>
      <c r="D24" s="4">
        <v>2.5376988067774301E-3</v>
      </c>
      <c r="E24" s="4">
        <v>7.0154610188608696E-4</v>
      </c>
      <c r="H24" s="3" t="s">
        <v>21</v>
      </c>
      <c r="I24">
        <v>8.4793668739402395E-4</v>
      </c>
      <c r="J24">
        <v>9.0776445634295098E-4</v>
      </c>
      <c r="L24" s="3" t="s">
        <v>21</v>
      </c>
      <c r="M24">
        <v>-3.3764686110639901E-4</v>
      </c>
      <c r="N24">
        <v>1.2792182012327201E-3</v>
      </c>
    </row>
    <row r="25" spans="3:15" x14ac:dyDescent="0.2">
      <c r="C25" s="4"/>
      <c r="D25" s="4"/>
      <c r="E25" s="4"/>
    </row>
    <row r="28" spans="3:15" x14ac:dyDescent="0.2">
      <c r="C28" t="s">
        <v>63</v>
      </c>
      <c r="E28" t="s">
        <v>55</v>
      </c>
      <c r="F28" t="s">
        <v>56</v>
      </c>
      <c r="G28" t="s">
        <v>57</v>
      </c>
      <c r="H28">
        <v>0.51649999999999996</v>
      </c>
      <c r="I28" t="s">
        <v>56</v>
      </c>
      <c r="J28" t="s">
        <v>58</v>
      </c>
      <c r="K28">
        <v>0.52200000000000002</v>
      </c>
      <c r="L28" t="s">
        <v>59</v>
      </c>
      <c r="M28">
        <v>0.67030000000000001</v>
      </c>
      <c r="N28" t="s">
        <v>60</v>
      </c>
      <c r="O28">
        <v>43614</v>
      </c>
    </row>
    <row r="29" spans="3:15" x14ac:dyDescent="0.2">
      <c r="E29" t="s">
        <v>55</v>
      </c>
      <c r="F29" t="s">
        <v>56</v>
      </c>
      <c r="G29" t="s">
        <v>57</v>
      </c>
      <c r="H29">
        <v>0.50980000000000003</v>
      </c>
      <c r="I29" s="2" t="s">
        <v>56</v>
      </c>
      <c r="J29" t="s">
        <v>58</v>
      </c>
      <c r="K29">
        <v>0.52200000000000002</v>
      </c>
      <c r="L29" t="s">
        <v>59</v>
      </c>
      <c r="M29">
        <v>0.65549999999999997</v>
      </c>
      <c r="N29" t="s">
        <v>60</v>
      </c>
      <c r="O29">
        <v>43614</v>
      </c>
    </row>
    <row r="30" spans="3:15" x14ac:dyDescent="0.2">
      <c r="E30" t="s">
        <v>55</v>
      </c>
      <c r="F30" t="s">
        <v>56</v>
      </c>
      <c r="G30" t="s">
        <v>57</v>
      </c>
      <c r="H30">
        <v>0.51029999999999998</v>
      </c>
      <c r="I30" t="s">
        <v>56</v>
      </c>
      <c r="J30" t="s">
        <v>58</v>
      </c>
      <c r="K30">
        <v>0.52200000000000002</v>
      </c>
      <c r="L30" t="s">
        <v>59</v>
      </c>
      <c r="M30">
        <v>0.68010000000000004</v>
      </c>
      <c r="N30" t="s">
        <v>60</v>
      </c>
      <c r="O30">
        <v>43614</v>
      </c>
    </row>
    <row r="31" spans="3:15" x14ac:dyDescent="0.2">
      <c r="E31" t="s">
        <v>55</v>
      </c>
      <c r="F31" t="s">
        <v>56</v>
      </c>
      <c r="G31" t="s">
        <v>57</v>
      </c>
      <c r="H31">
        <v>0.5101</v>
      </c>
      <c r="I31" t="s">
        <v>56</v>
      </c>
      <c r="J31" t="s">
        <v>58</v>
      </c>
      <c r="K31">
        <v>0.52200000000000002</v>
      </c>
      <c r="L31" t="s">
        <v>59</v>
      </c>
      <c r="M31">
        <v>0.67120000000000002</v>
      </c>
      <c r="N31" t="s">
        <v>60</v>
      </c>
      <c r="O31">
        <v>43614</v>
      </c>
    </row>
    <row r="34" spans="3:16" x14ac:dyDescent="0.2">
      <c r="C34" s="3" t="s">
        <v>6</v>
      </c>
      <c r="E34" t="s">
        <v>55</v>
      </c>
      <c r="F34" t="s">
        <v>56</v>
      </c>
      <c r="G34" t="s">
        <v>57</v>
      </c>
      <c r="H34">
        <v>0.51900000000000002</v>
      </c>
      <c r="I34" t="s">
        <v>56</v>
      </c>
      <c r="J34" t="s">
        <v>58</v>
      </c>
      <c r="K34">
        <v>0.52200000000000002</v>
      </c>
      <c r="L34" t="s">
        <v>59</v>
      </c>
      <c r="M34">
        <v>0.64980000000000004</v>
      </c>
      <c r="N34" t="s">
        <v>60</v>
      </c>
      <c r="O34">
        <v>43614</v>
      </c>
    </row>
    <row r="35" spans="3:16" x14ac:dyDescent="0.2">
      <c r="C35" s="3" t="s">
        <v>25</v>
      </c>
      <c r="E35" t="s">
        <v>55</v>
      </c>
      <c r="F35" t="s">
        <v>56</v>
      </c>
      <c r="G35" t="s">
        <v>57</v>
      </c>
      <c r="H35">
        <v>0.50980000000000003</v>
      </c>
      <c r="I35" t="s">
        <v>56</v>
      </c>
      <c r="J35" t="s">
        <v>58</v>
      </c>
      <c r="K35">
        <v>0.52200000000000002</v>
      </c>
      <c r="L35" t="s">
        <v>59</v>
      </c>
      <c r="M35">
        <v>0.65549999999999997</v>
      </c>
      <c r="N35" t="s">
        <v>60</v>
      </c>
      <c r="O35">
        <v>43614</v>
      </c>
    </row>
    <row r="36" spans="3:16" x14ac:dyDescent="0.2">
      <c r="C36" s="3" t="s">
        <v>14</v>
      </c>
      <c r="E36" t="s">
        <v>55</v>
      </c>
      <c r="F36" t="s">
        <v>56</v>
      </c>
      <c r="G36" t="s">
        <v>57</v>
      </c>
      <c r="H36">
        <v>0.51400000000000001</v>
      </c>
      <c r="I36" t="s">
        <v>56</v>
      </c>
      <c r="J36" t="s">
        <v>58</v>
      </c>
      <c r="K36">
        <v>0.52200000000000002</v>
      </c>
      <c r="L36" t="s">
        <v>59</v>
      </c>
      <c r="M36">
        <v>0.66639999999999999</v>
      </c>
      <c r="N36" t="s">
        <v>60</v>
      </c>
      <c r="O36">
        <v>43614</v>
      </c>
    </row>
    <row r="37" spans="3:16" x14ac:dyDescent="0.2">
      <c r="C37" s="3" t="s">
        <v>21</v>
      </c>
      <c r="E37" t="s">
        <v>55</v>
      </c>
      <c r="F37" t="s">
        <v>56</v>
      </c>
      <c r="G37" t="s">
        <v>57</v>
      </c>
      <c r="H37">
        <v>0.51149999999999995</v>
      </c>
      <c r="I37" t="s">
        <v>56</v>
      </c>
      <c r="J37" t="s">
        <v>58</v>
      </c>
      <c r="K37">
        <v>0.52200000000000002</v>
      </c>
      <c r="L37" t="s">
        <v>59</v>
      </c>
      <c r="M37">
        <v>0.66410000000000002</v>
      </c>
      <c r="N37" t="s">
        <v>60</v>
      </c>
      <c r="O37">
        <v>43614</v>
      </c>
    </row>
    <row r="40" spans="3:16" x14ac:dyDescent="0.2">
      <c r="C40" s="6" t="s">
        <v>65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3:16" x14ac:dyDescent="0.2">
      <c r="C41" s="6" t="s">
        <v>66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3:16" x14ac:dyDescent="0.2">
      <c r="C42" s="5"/>
      <c r="E42" t="s">
        <v>55</v>
      </c>
      <c r="F42" t="s">
        <v>56</v>
      </c>
      <c r="G42" t="s">
        <v>57</v>
      </c>
      <c r="H42">
        <v>0.51780000000000004</v>
      </c>
      <c r="I42" t="s">
        <v>56</v>
      </c>
      <c r="J42" t="s">
        <v>58</v>
      </c>
      <c r="K42">
        <v>0.52200000000000002</v>
      </c>
      <c r="L42" t="s">
        <v>59</v>
      </c>
      <c r="M42">
        <v>0.66920000000000002</v>
      </c>
      <c r="N42" t="s">
        <v>60</v>
      </c>
      <c r="O42">
        <v>43614</v>
      </c>
    </row>
    <row r="43" spans="3:16" x14ac:dyDescent="0.2">
      <c r="C43" s="5"/>
      <c r="E43" t="s">
        <v>55</v>
      </c>
      <c r="F43" t="s">
        <v>56</v>
      </c>
      <c r="G43" t="s">
        <v>57</v>
      </c>
      <c r="H43">
        <v>0.50980000000000003</v>
      </c>
      <c r="I43" t="s">
        <v>56</v>
      </c>
      <c r="J43" t="s">
        <v>58</v>
      </c>
      <c r="K43">
        <v>0.52200000000000002</v>
      </c>
      <c r="L43" t="s">
        <v>59</v>
      </c>
      <c r="M43">
        <v>0.65549999999999997</v>
      </c>
      <c r="N43" t="s">
        <v>60</v>
      </c>
      <c r="O43">
        <v>43614</v>
      </c>
    </row>
    <row r="44" spans="3:16" x14ac:dyDescent="0.2">
      <c r="C44" s="5"/>
      <c r="E44" t="s">
        <v>55</v>
      </c>
      <c r="F44" t="s">
        <v>56</v>
      </c>
      <c r="G44" t="s">
        <v>57</v>
      </c>
      <c r="H44">
        <v>0.50860000000000005</v>
      </c>
      <c r="I44" t="s">
        <v>56</v>
      </c>
      <c r="J44" t="s">
        <v>58</v>
      </c>
      <c r="K44">
        <v>0.52200000000000002</v>
      </c>
      <c r="L44" t="s">
        <v>59</v>
      </c>
      <c r="M44">
        <v>0.67820000000000003</v>
      </c>
      <c r="N44" t="s">
        <v>60</v>
      </c>
      <c r="O44">
        <v>43614</v>
      </c>
    </row>
    <row r="45" spans="3:16" x14ac:dyDescent="0.2">
      <c r="C45" s="5"/>
      <c r="E45" t="s">
        <v>55</v>
      </c>
      <c r="F45" t="s">
        <v>56</v>
      </c>
      <c r="G45" t="s">
        <v>57</v>
      </c>
      <c r="H45">
        <v>0.51019999999999999</v>
      </c>
      <c r="I45" t="s">
        <v>56</v>
      </c>
      <c r="J45" t="s">
        <v>58</v>
      </c>
      <c r="K45">
        <v>0.52200000000000002</v>
      </c>
      <c r="L45" t="s">
        <v>59</v>
      </c>
      <c r="M45">
        <v>0.6714</v>
      </c>
      <c r="N45" t="s">
        <v>60</v>
      </c>
      <c r="O45">
        <v>43614</v>
      </c>
    </row>
    <row r="46" spans="3:16" x14ac:dyDescent="0.2">
      <c r="C46" s="5"/>
    </row>
    <row r="47" spans="3:16" x14ac:dyDescent="0.2">
      <c r="C47" s="5"/>
    </row>
    <row r="48" spans="3:16" x14ac:dyDescent="0.2">
      <c r="C48" s="6" t="s">
        <v>70</v>
      </c>
    </row>
    <row r="49" spans="3:15" x14ac:dyDescent="0.2">
      <c r="C49" s="6" t="s">
        <v>71</v>
      </c>
    </row>
    <row r="50" spans="3:15" x14ac:dyDescent="0.2">
      <c r="C50" s="6" t="s">
        <v>67</v>
      </c>
    </row>
    <row r="51" spans="3:15" x14ac:dyDescent="0.2">
      <c r="C51" s="6" t="s">
        <v>68</v>
      </c>
    </row>
    <row r="52" spans="3:15" x14ac:dyDescent="0.2">
      <c r="C52" s="6" t="s">
        <v>69</v>
      </c>
    </row>
    <row r="53" spans="3:15" x14ac:dyDescent="0.2">
      <c r="C53" s="6" t="s">
        <v>64</v>
      </c>
    </row>
    <row r="54" spans="3:15" x14ac:dyDescent="0.2">
      <c r="C54" s="5"/>
    </row>
    <row r="55" spans="3:15" x14ac:dyDescent="0.2">
      <c r="C55" s="5"/>
      <c r="E55" t="s">
        <v>55</v>
      </c>
      <c r="F55" t="s">
        <v>56</v>
      </c>
      <c r="G55" t="s">
        <v>57</v>
      </c>
      <c r="H55">
        <v>0.51719999999999999</v>
      </c>
      <c r="I55" t="s">
        <v>56</v>
      </c>
      <c r="J55" t="s">
        <v>58</v>
      </c>
      <c r="K55">
        <v>0.52200000000000002</v>
      </c>
      <c r="L55" t="s">
        <v>59</v>
      </c>
      <c r="M55">
        <v>0.6704</v>
      </c>
      <c r="N55" t="s">
        <v>60</v>
      </c>
      <c r="O55">
        <v>43614</v>
      </c>
    </row>
    <row r="56" spans="3:15" x14ac:dyDescent="0.2">
      <c r="C56" s="5"/>
      <c r="E56" t="s">
        <v>55</v>
      </c>
      <c r="F56" t="s">
        <v>56</v>
      </c>
      <c r="G56" t="s">
        <v>57</v>
      </c>
      <c r="H56">
        <v>0.50980000000000003</v>
      </c>
      <c r="I56" t="s">
        <v>56</v>
      </c>
      <c r="J56" t="s">
        <v>58</v>
      </c>
      <c r="K56">
        <v>0.52200000000000002</v>
      </c>
      <c r="L56" t="s">
        <v>59</v>
      </c>
      <c r="M56">
        <v>0.65549999999999997</v>
      </c>
      <c r="N56" t="s">
        <v>60</v>
      </c>
      <c r="O56">
        <v>43614</v>
      </c>
    </row>
    <row r="57" spans="3:15" x14ac:dyDescent="0.2">
      <c r="C57" s="5"/>
      <c r="E57" t="s">
        <v>55</v>
      </c>
      <c r="F57" t="s">
        <v>56</v>
      </c>
      <c r="G57" t="s">
        <v>57</v>
      </c>
      <c r="H57">
        <v>0.51300000000000001</v>
      </c>
      <c r="I57" t="s">
        <v>56</v>
      </c>
      <c r="J57" t="s">
        <v>58</v>
      </c>
      <c r="K57">
        <v>0.52200000000000002</v>
      </c>
      <c r="L57" t="s">
        <v>59</v>
      </c>
      <c r="M57">
        <v>0.68030000000000002</v>
      </c>
      <c r="N57" t="s">
        <v>60</v>
      </c>
      <c r="O57">
        <v>43614</v>
      </c>
    </row>
    <row r="58" spans="3:15" x14ac:dyDescent="0.2">
      <c r="C58" s="4"/>
      <c r="E58" t="s">
        <v>55</v>
      </c>
      <c r="F58" t="s">
        <v>56</v>
      </c>
      <c r="G58" t="s">
        <v>57</v>
      </c>
      <c r="H58">
        <v>0.50960000000000005</v>
      </c>
      <c r="I58" t="s">
        <v>56</v>
      </c>
      <c r="J58" t="s">
        <v>58</v>
      </c>
      <c r="K58">
        <v>0.52200000000000002</v>
      </c>
      <c r="L58" t="s">
        <v>59</v>
      </c>
      <c r="M58">
        <v>0.67090000000000005</v>
      </c>
      <c r="N58" t="s">
        <v>60</v>
      </c>
      <c r="O58">
        <v>43614</v>
      </c>
    </row>
    <row r="59" spans="3:15" x14ac:dyDescent="0.2">
      <c r="C59" s="4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9409F-4E1C-514B-B309-6A0300B617FB}">
  <dimension ref="B3:O166"/>
  <sheetViews>
    <sheetView workbookViewId="0">
      <selection activeCell="G5" sqref="G5"/>
    </sheetView>
  </sheetViews>
  <sheetFormatPr baseColWidth="10" defaultRowHeight="16" x14ac:dyDescent="0.2"/>
  <cols>
    <col min="10" max="10" width="23.6640625" customWidth="1"/>
  </cols>
  <sheetData>
    <row r="3" spans="2:13" x14ac:dyDescent="0.2">
      <c r="B3" t="s">
        <v>41</v>
      </c>
      <c r="C3" t="s">
        <v>42</v>
      </c>
      <c r="E3" t="s">
        <v>41</v>
      </c>
      <c r="F3" t="s">
        <v>42</v>
      </c>
      <c r="J3" t="s">
        <v>41</v>
      </c>
      <c r="K3" t="s">
        <v>42</v>
      </c>
    </row>
    <row r="4" spans="2:13" x14ac:dyDescent="0.2">
      <c r="B4" t="s">
        <v>72</v>
      </c>
      <c r="C4">
        <v>3.1472031027078601E-2</v>
      </c>
      <c r="E4" t="s">
        <v>174</v>
      </c>
      <c r="F4">
        <v>79</v>
      </c>
      <c r="J4" t="s">
        <v>172</v>
      </c>
      <c r="K4">
        <v>2.0892658060115998</v>
      </c>
    </row>
    <row r="5" spans="2:13" x14ac:dyDescent="0.2">
      <c r="B5" t="s">
        <v>73</v>
      </c>
      <c r="C5">
        <v>2.0029589533805799E-2</v>
      </c>
      <c r="E5" t="s">
        <v>179</v>
      </c>
      <c r="F5">
        <v>62</v>
      </c>
      <c r="J5" t="s">
        <v>182</v>
      </c>
      <c r="K5">
        <v>2.0150672707820401</v>
      </c>
    </row>
    <row r="6" spans="2:13" x14ac:dyDescent="0.2">
      <c r="B6" t="s">
        <v>74</v>
      </c>
      <c r="C6">
        <v>1.7200434580445199E-2</v>
      </c>
      <c r="E6" t="s">
        <v>130</v>
      </c>
      <c r="F6">
        <v>60</v>
      </c>
      <c r="H6" t="str">
        <f>E6</f>
        <v>HLCseq12</v>
      </c>
      <c r="J6" t="s">
        <v>213</v>
      </c>
      <c r="K6">
        <v>2.0092799138213899</v>
      </c>
    </row>
    <row r="7" spans="2:13" x14ac:dyDescent="0.2">
      <c r="B7" t="s">
        <v>75</v>
      </c>
      <c r="C7">
        <v>1.7138071358203801E-2</v>
      </c>
      <c r="E7" t="s">
        <v>190</v>
      </c>
      <c r="F7">
        <v>59</v>
      </c>
      <c r="J7" t="s">
        <v>174</v>
      </c>
      <c r="K7">
        <v>1.9989191632591401</v>
      </c>
    </row>
    <row r="8" spans="2:13" x14ac:dyDescent="0.2">
      <c r="B8" t="s">
        <v>76</v>
      </c>
      <c r="C8">
        <v>1.54948374256491E-2</v>
      </c>
      <c r="E8" t="s">
        <v>182</v>
      </c>
      <c r="F8">
        <v>57</v>
      </c>
      <c r="J8" s="1" t="s">
        <v>77</v>
      </c>
      <c r="K8">
        <v>1.89891566794456</v>
      </c>
      <c r="M8" t="str">
        <f>J8</f>
        <v>RSIseq</v>
      </c>
    </row>
    <row r="9" spans="2:13" x14ac:dyDescent="0.2">
      <c r="B9" t="s">
        <v>77</v>
      </c>
      <c r="C9">
        <v>1.52867408469319E-2</v>
      </c>
      <c r="E9" t="s">
        <v>172</v>
      </c>
      <c r="F9">
        <v>56</v>
      </c>
      <c r="J9" t="s">
        <v>188</v>
      </c>
      <c r="K9">
        <v>1.8621790054390499</v>
      </c>
    </row>
    <row r="10" spans="2:13" x14ac:dyDescent="0.2">
      <c r="B10" t="s">
        <v>78</v>
      </c>
      <c r="C10">
        <v>1.52854127809405E-2</v>
      </c>
      <c r="E10" t="s">
        <v>159</v>
      </c>
      <c r="F10">
        <v>55</v>
      </c>
      <c r="J10" t="s">
        <v>175</v>
      </c>
      <c r="K10">
        <v>1.84084807326156</v>
      </c>
    </row>
    <row r="11" spans="2:13" x14ac:dyDescent="0.2">
      <c r="B11" t="s">
        <v>79</v>
      </c>
      <c r="C11">
        <v>1.51369245722889E-2</v>
      </c>
      <c r="E11" t="s">
        <v>188</v>
      </c>
      <c r="F11">
        <v>53</v>
      </c>
      <c r="J11" t="s">
        <v>176</v>
      </c>
      <c r="K11">
        <v>1.8212986944006799</v>
      </c>
    </row>
    <row r="12" spans="2:13" x14ac:dyDescent="0.2">
      <c r="B12" t="s">
        <v>80</v>
      </c>
      <c r="C12">
        <v>1.5060721896588801E-2</v>
      </c>
      <c r="E12" t="s">
        <v>202</v>
      </c>
      <c r="F12">
        <v>53</v>
      </c>
      <c r="J12" t="s">
        <v>179</v>
      </c>
      <c r="K12">
        <v>1.7882186822325701</v>
      </c>
    </row>
    <row r="13" spans="2:13" x14ac:dyDescent="0.2">
      <c r="B13" t="s">
        <v>81</v>
      </c>
      <c r="C13">
        <v>1.47122144699096E-2</v>
      </c>
      <c r="E13" t="s">
        <v>186</v>
      </c>
      <c r="F13">
        <v>52</v>
      </c>
      <c r="J13" s="1" t="s">
        <v>130</v>
      </c>
      <c r="K13">
        <v>1.7512864583083401</v>
      </c>
      <c r="M13" t="str">
        <f>J13</f>
        <v>HLCseq12</v>
      </c>
    </row>
    <row r="14" spans="2:13" x14ac:dyDescent="0.2">
      <c r="B14" t="s">
        <v>82</v>
      </c>
      <c r="C14">
        <v>1.42934648320078E-2</v>
      </c>
      <c r="E14" t="s">
        <v>77</v>
      </c>
      <c r="F14">
        <v>51</v>
      </c>
      <c r="H14" t="str">
        <f t="shared" ref="H14:H69" si="0">E14</f>
        <v>RSIseq</v>
      </c>
      <c r="J14" t="s">
        <v>196</v>
      </c>
      <c r="K14">
        <v>1.74684144816929</v>
      </c>
    </row>
    <row r="15" spans="2:13" x14ac:dyDescent="0.2">
      <c r="B15" t="s">
        <v>83</v>
      </c>
      <c r="C15">
        <v>1.42906298860907E-2</v>
      </c>
      <c r="E15" t="s">
        <v>75</v>
      </c>
      <c r="F15">
        <v>49</v>
      </c>
      <c r="H15" t="str">
        <f t="shared" si="0"/>
        <v>ATR2seq2</v>
      </c>
      <c r="J15" t="s">
        <v>190</v>
      </c>
      <c r="K15">
        <v>1.6367299635443899</v>
      </c>
    </row>
    <row r="16" spans="2:13" x14ac:dyDescent="0.2">
      <c r="B16" t="s">
        <v>84</v>
      </c>
      <c r="C16">
        <v>1.4183140359818901E-2</v>
      </c>
      <c r="E16" t="s">
        <v>196</v>
      </c>
      <c r="F16">
        <v>48</v>
      </c>
      <c r="J16" t="s">
        <v>159</v>
      </c>
      <c r="K16">
        <v>1.6212033654029601</v>
      </c>
    </row>
    <row r="17" spans="2:13" x14ac:dyDescent="0.2">
      <c r="B17" t="s">
        <v>85</v>
      </c>
      <c r="C17">
        <v>1.36898504570126E-2</v>
      </c>
      <c r="E17" t="s">
        <v>178</v>
      </c>
      <c r="F17">
        <v>48</v>
      </c>
      <c r="J17" t="s">
        <v>204</v>
      </c>
      <c r="K17">
        <v>1.6056875585252901</v>
      </c>
    </row>
    <row r="18" spans="2:13" x14ac:dyDescent="0.2">
      <c r="B18" t="s">
        <v>86</v>
      </c>
      <c r="C18">
        <v>1.36487623676657E-2</v>
      </c>
      <c r="E18" t="s">
        <v>185</v>
      </c>
      <c r="F18">
        <v>47</v>
      </c>
      <c r="J18" t="s">
        <v>184</v>
      </c>
      <c r="K18">
        <v>1.5870614997461401</v>
      </c>
    </row>
    <row r="19" spans="2:13" x14ac:dyDescent="0.2">
      <c r="B19" t="s">
        <v>87</v>
      </c>
      <c r="C19">
        <v>1.3642219826579E-2</v>
      </c>
      <c r="E19" t="s">
        <v>95</v>
      </c>
      <c r="F19">
        <v>47</v>
      </c>
      <c r="H19" t="str">
        <f t="shared" si="0"/>
        <v>ROCseq3</v>
      </c>
      <c r="J19" t="s">
        <v>181</v>
      </c>
      <c r="K19">
        <v>1.5727813400559501</v>
      </c>
    </row>
    <row r="20" spans="2:13" x14ac:dyDescent="0.2">
      <c r="B20" t="s">
        <v>88</v>
      </c>
      <c r="C20">
        <v>1.35860051959753E-2</v>
      </c>
      <c r="E20" t="s">
        <v>164</v>
      </c>
      <c r="F20">
        <v>46</v>
      </c>
      <c r="J20" t="s">
        <v>101</v>
      </c>
      <c r="K20">
        <v>1.54391768880156</v>
      </c>
    </row>
    <row r="21" spans="2:13" x14ac:dyDescent="0.2">
      <c r="B21" t="s">
        <v>89</v>
      </c>
      <c r="C21">
        <v>1.3537204824387999E-2</v>
      </c>
      <c r="E21" t="s">
        <v>139</v>
      </c>
      <c r="F21">
        <v>46</v>
      </c>
      <c r="H21" t="str">
        <f t="shared" si="0"/>
        <v>SDBB9seq</v>
      </c>
      <c r="J21" t="s">
        <v>178</v>
      </c>
      <c r="K21">
        <v>1.5314170206344699</v>
      </c>
    </row>
    <row r="22" spans="2:13" x14ac:dyDescent="0.2">
      <c r="B22" t="s">
        <v>90</v>
      </c>
      <c r="C22">
        <v>1.35104805231094E-2</v>
      </c>
      <c r="E22" t="s">
        <v>169</v>
      </c>
      <c r="F22">
        <v>45</v>
      </c>
      <c r="J22" s="1" t="s">
        <v>74</v>
      </c>
      <c r="K22">
        <v>1.5257993249877</v>
      </c>
      <c r="M22" t="str">
        <f>J22</f>
        <v>ATR2seq</v>
      </c>
    </row>
    <row r="23" spans="2:13" x14ac:dyDescent="0.2">
      <c r="B23" t="s">
        <v>91</v>
      </c>
      <c r="C23">
        <v>1.34962974116206E-2</v>
      </c>
      <c r="E23" t="s">
        <v>79</v>
      </c>
      <c r="F23">
        <v>45</v>
      </c>
      <c r="H23" t="str">
        <f t="shared" si="0"/>
        <v>CDseq</v>
      </c>
      <c r="J23" t="s">
        <v>155</v>
      </c>
      <c r="K23">
        <v>1.4664204251802999</v>
      </c>
    </row>
    <row r="24" spans="2:13" x14ac:dyDescent="0.2">
      <c r="B24" t="s">
        <v>92</v>
      </c>
      <c r="C24">
        <v>1.3398768380284301E-2</v>
      </c>
      <c r="E24" t="s">
        <v>175</v>
      </c>
      <c r="F24">
        <v>44</v>
      </c>
      <c r="J24" t="s">
        <v>127</v>
      </c>
      <c r="K24">
        <v>1.4339426980991301</v>
      </c>
      <c r="M24" t="str">
        <f>J24</f>
        <v>ADXseq</v>
      </c>
    </row>
    <row r="25" spans="2:13" x14ac:dyDescent="0.2">
      <c r="B25" t="s">
        <v>93</v>
      </c>
      <c r="C25">
        <v>1.33290234953165E-2</v>
      </c>
      <c r="E25" t="s">
        <v>191</v>
      </c>
      <c r="F25">
        <v>44</v>
      </c>
      <c r="J25" s="1" t="s">
        <v>79</v>
      </c>
      <c r="K25">
        <v>1.4169267662832401</v>
      </c>
      <c r="M25" t="str">
        <f>J25</f>
        <v>CDseq</v>
      </c>
    </row>
    <row r="26" spans="2:13" x14ac:dyDescent="0.2">
      <c r="B26" t="s">
        <v>94</v>
      </c>
      <c r="C26">
        <v>1.3305838219821399E-2</v>
      </c>
      <c r="E26" t="s">
        <v>203</v>
      </c>
      <c r="F26">
        <v>44</v>
      </c>
      <c r="J26" t="s">
        <v>191</v>
      </c>
      <c r="K26">
        <v>1.4124032629169501</v>
      </c>
    </row>
    <row r="27" spans="2:13" x14ac:dyDescent="0.2">
      <c r="B27" t="s">
        <v>95</v>
      </c>
      <c r="C27">
        <v>1.32662877440452E-2</v>
      </c>
      <c r="E27" t="s">
        <v>204</v>
      </c>
      <c r="F27">
        <v>44</v>
      </c>
      <c r="J27" t="s">
        <v>120</v>
      </c>
      <c r="K27">
        <v>1.4110673311328501</v>
      </c>
      <c r="M27" t="str">
        <f>J27</f>
        <v>FTseq2</v>
      </c>
    </row>
    <row r="28" spans="2:13" x14ac:dyDescent="0.2">
      <c r="B28" t="s">
        <v>96</v>
      </c>
      <c r="C28">
        <v>1.32603766396641E-2</v>
      </c>
      <c r="E28" t="s">
        <v>91</v>
      </c>
      <c r="F28">
        <v>43</v>
      </c>
      <c r="H28" t="str">
        <f t="shared" si="0"/>
        <v>SD79seq</v>
      </c>
      <c r="J28" t="s">
        <v>203</v>
      </c>
      <c r="K28">
        <v>1.39126510983739</v>
      </c>
    </row>
    <row r="29" spans="2:13" x14ac:dyDescent="0.2">
      <c r="B29" t="s">
        <v>97</v>
      </c>
      <c r="C29">
        <v>1.3195086270570699E-2</v>
      </c>
      <c r="E29" t="s">
        <v>166</v>
      </c>
      <c r="F29">
        <v>43</v>
      </c>
      <c r="J29" t="s">
        <v>206</v>
      </c>
      <c r="K29">
        <v>1.37057821925028</v>
      </c>
    </row>
    <row r="30" spans="2:13" x14ac:dyDescent="0.2">
      <c r="B30" t="s">
        <v>98</v>
      </c>
      <c r="C30">
        <v>1.3030334375798701E-2</v>
      </c>
      <c r="E30" t="s">
        <v>102</v>
      </c>
      <c r="F30">
        <v>43</v>
      </c>
      <c r="H30" t="str">
        <f t="shared" si="0"/>
        <v>STOK721seq</v>
      </c>
      <c r="J30" t="s">
        <v>212</v>
      </c>
      <c r="K30">
        <v>1.36714551719413</v>
      </c>
    </row>
    <row r="31" spans="2:13" x14ac:dyDescent="0.2">
      <c r="B31" t="s">
        <v>99</v>
      </c>
      <c r="C31">
        <v>1.29879098385572E-2</v>
      </c>
      <c r="E31" t="s">
        <v>121</v>
      </c>
      <c r="F31">
        <v>42</v>
      </c>
      <c r="H31" t="str">
        <f t="shared" si="0"/>
        <v>SDLR310seq</v>
      </c>
      <c r="J31" t="s">
        <v>170</v>
      </c>
      <c r="K31">
        <v>1.3444800276264299</v>
      </c>
    </row>
    <row r="32" spans="2:13" x14ac:dyDescent="0.2">
      <c r="B32" t="s">
        <v>100</v>
      </c>
      <c r="C32">
        <v>1.29673993214964E-2</v>
      </c>
      <c r="E32" t="s">
        <v>94</v>
      </c>
      <c r="F32">
        <v>42</v>
      </c>
      <c r="H32" t="str">
        <f t="shared" si="0"/>
        <v>ADXseq3</v>
      </c>
      <c r="J32" t="s">
        <v>100</v>
      </c>
      <c r="K32">
        <v>1.3380020780972299</v>
      </c>
      <c r="M32" t="str">
        <f>J32</f>
        <v>FTseq</v>
      </c>
    </row>
    <row r="33" spans="2:13" x14ac:dyDescent="0.2">
      <c r="B33" t="s">
        <v>101</v>
      </c>
      <c r="C33">
        <v>1.28623116761446E-2</v>
      </c>
      <c r="E33" t="s">
        <v>205</v>
      </c>
      <c r="F33">
        <v>42</v>
      </c>
      <c r="J33" t="s">
        <v>210</v>
      </c>
      <c r="K33">
        <v>1.33703090758222</v>
      </c>
    </row>
    <row r="34" spans="2:13" x14ac:dyDescent="0.2">
      <c r="B34" t="s">
        <v>102</v>
      </c>
      <c r="C34">
        <v>1.2848501093685599E-2</v>
      </c>
      <c r="E34" t="s">
        <v>181</v>
      </c>
      <c r="F34">
        <v>41</v>
      </c>
      <c r="J34" t="s">
        <v>189</v>
      </c>
      <c r="K34">
        <v>1.33485693359948</v>
      </c>
    </row>
    <row r="35" spans="2:13" x14ac:dyDescent="0.2">
      <c r="B35" t="s">
        <v>103</v>
      </c>
      <c r="C35">
        <v>1.2792744673788501E-2</v>
      </c>
      <c r="E35" t="s">
        <v>177</v>
      </c>
      <c r="F35">
        <v>40</v>
      </c>
      <c r="J35" s="1" t="s">
        <v>139</v>
      </c>
      <c r="K35">
        <v>1.32984130474268</v>
      </c>
      <c r="M35" t="str">
        <f>J35</f>
        <v>SDBB9seq</v>
      </c>
    </row>
    <row r="36" spans="2:13" x14ac:dyDescent="0.2">
      <c r="B36" t="s">
        <v>104</v>
      </c>
      <c r="C36">
        <v>1.2791676446795399E-2</v>
      </c>
      <c r="E36" t="s">
        <v>206</v>
      </c>
      <c r="F36">
        <v>40</v>
      </c>
      <c r="J36" t="s">
        <v>81</v>
      </c>
      <c r="K36">
        <v>1.32422732509398</v>
      </c>
      <c r="M36" t="str">
        <f>J36</f>
        <v>ATR2seq1</v>
      </c>
    </row>
    <row r="37" spans="2:13" x14ac:dyDescent="0.2">
      <c r="B37" t="s">
        <v>105</v>
      </c>
      <c r="C37">
        <v>1.27698583528399E-2</v>
      </c>
      <c r="E37" t="s">
        <v>74</v>
      </c>
      <c r="F37">
        <v>40</v>
      </c>
      <c r="H37" t="str">
        <f t="shared" si="0"/>
        <v>ATR2seq</v>
      </c>
      <c r="J37" t="s">
        <v>171</v>
      </c>
      <c r="K37">
        <v>1.32025272246703</v>
      </c>
    </row>
    <row r="38" spans="2:13" x14ac:dyDescent="0.2">
      <c r="B38" t="s">
        <v>106</v>
      </c>
      <c r="C38">
        <v>1.2703232467174501E-2</v>
      </c>
      <c r="E38" t="s">
        <v>199</v>
      </c>
      <c r="F38">
        <v>39</v>
      </c>
      <c r="J38" t="s">
        <v>94</v>
      </c>
      <c r="K38">
        <v>1.2943483108323599</v>
      </c>
      <c r="M38" t="str">
        <f>J38</f>
        <v>ADXseq3</v>
      </c>
    </row>
    <row r="39" spans="2:13" x14ac:dyDescent="0.2">
      <c r="B39" t="s">
        <v>107</v>
      </c>
      <c r="C39">
        <v>1.26992836594581E-2</v>
      </c>
      <c r="E39" t="s">
        <v>125</v>
      </c>
      <c r="F39">
        <v>39</v>
      </c>
      <c r="H39" t="str">
        <f t="shared" si="0"/>
        <v>SD79seq2</v>
      </c>
      <c r="J39" t="s">
        <v>185</v>
      </c>
      <c r="K39">
        <v>1.2900138635190299</v>
      </c>
    </row>
    <row r="40" spans="2:13" x14ac:dyDescent="0.2">
      <c r="B40" t="s">
        <v>108</v>
      </c>
      <c r="C40">
        <v>1.2661518529057499E-2</v>
      </c>
      <c r="E40" t="s">
        <v>201</v>
      </c>
      <c r="F40">
        <v>39</v>
      </c>
      <c r="J40" t="s">
        <v>160</v>
      </c>
      <c r="K40">
        <v>1.28999768130195</v>
      </c>
    </row>
    <row r="41" spans="2:13" x14ac:dyDescent="0.2">
      <c r="B41" t="s">
        <v>109</v>
      </c>
      <c r="C41">
        <v>1.26377986744046E-2</v>
      </c>
      <c r="E41" t="s">
        <v>117</v>
      </c>
      <c r="F41">
        <v>39</v>
      </c>
      <c r="H41" t="str">
        <f t="shared" si="0"/>
        <v>RSIseq3</v>
      </c>
      <c r="J41" t="s">
        <v>201</v>
      </c>
      <c r="K41">
        <v>1.2706527388367199</v>
      </c>
    </row>
    <row r="42" spans="2:13" x14ac:dyDescent="0.2">
      <c r="B42" t="s">
        <v>110</v>
      </c>
      <c r="C42">
        <v>1.2619280256330899E-2</v>
      </c>
      <c r="E42" t="s">
        <v>176</v>
      </c>
      <c r="F42">
        <v>38</v>
      </c>
      <c r="J42" t="s">
        <v>125</v>
      </c>
      <c r="K42">
        <v>1.2695409314575199</v>
      </c>
      <c r="M42" t="str">
        <f>J42</f>
        <v>SD79seq2</v>
      </c>
    </row>
    <row r="43" spans="2:13" x14ac:dyDescent="0.2">
      <c r="B43" t="s">
        <v>111</v>
      </c>
      <c r="C43">
        <v>1.26106021925807E-2</v>
      </c>
      <c r="E43" t="s">
        <v>207</v>
      </c>
      <c r="F43">
        <v>38</v>
      </c>
      <c r="J43" t="s">
        <v>164</v>
      </c>
      <c r="K43">
        <v>1.2521723730272101</v>
      </c>
    </row>
    <row r="44" spans="2:13" x14ac:dyDescent="0.2">
      <c r="B44" t="s">
        <v>112</v>
      </c>
      <c r="C44">
        <v>1.25891733914613E-2</v>
      </c>
      <c r="E44" t="s">
        <v>183</v>
      </c>
      <c r="F44">
        <v>37</v>
      </c>
      <c r="J44" t="s">
        <v>166</v>
      </c>
      <c r="K44">
        <v>1.2501155305112599</v>
      </c>
    </row>
    <row r="45" spans="2:13" x14ac:dyDescent="0.2">
      <c r="B45" t="s">
        <v>113</v>
      </c>
      <c r="C45">
        <v>1.2556408531963799E-2</v>
      </c>
      <c r="E45" t="s">
        <v>127</v>
      </c>
      <c r="F45">
        <v>37</v>
      </c>
      <c r="H45" t="str">
        <f t="shared" si="0"/>
        <v>ADXseq</v>
      </c>
      <c r="J45" t="s">
        <v>158</v>
      </c>
      <c r="K45">
        <v>1.24961420634191</v>
      </c>
    </row>
    <row r="46" spans="2:13" x14ac:dyDescent="0.2">
      <c r="B46" t="s">
        <v>114</v>
      </c>
      <c r="C46">
        <v>1.2469775043427901E-2</v>
      </c>
      <c r="E46" t="s">
        <v>81</v>
      </c>
      <c r="F46">
        <v>37</v>
      </c>
      <c r="H46" t="str">
        <f t="shared" si="0"/>
        <v>ATR2seq1</v>
      </c>
      <c r="J46" t="s">
        <v>207</v>
      </c>
      <c r="K46">
        <v>1.2444219788773501</v>
      </c>
    </row>
    <row r="47" spans="2:13" x14ac:dyDescent="0.2">
      <c r="B47" t="s">
        <v>115</v>
      </c>
      <c r="C47">
        <v>1.24447057023644E-2</v>
      </c>
      <c r="E47" t="s">
        <v>173</v>
      </c>
      <c r="F47">
        <v>36</v>
      </c>
      <c r="J47" t="s">
        <v>116</v>
      </c>
      <c r="K47">
        <v>1.2417518170417901</v>
      </c>
    </row>
    <row r="48" spans="2:13" x14ac:dyDescent="0.2">
      <c r="B48" t="s">
        <v>116</v>
      </c>
      <c r="C48">
        <v>1.23949358239769E-2</v>
      </c>
      <c r="E48" t="s">
        <v>208</v>
      </c>
      <c r="F48">
        <v>36</v>
      </c>
      <c r="J48" t="s">
        <v>211</v>
      </c>
      <c r="K48">
        <v>1.2384070502138</v>
      </c>
    </row>
    <row r="49" spans="2:13" x14ac:dyDescent="0.2">
      <c r="B49" t="s">
        <v>117</v>
      </c>
      <c r="C49">
        <v>1.23606026172637E-2</v>
      </c>
      <c r="E49" t="s">
        <v>170</v>
      </c>
      <c r="F49">
        <v>35</v>
      </c>
      <c r="J49" s="1" t="s">
        <v>95</v>
      </c>
      <c r="K49">
        <v>1.2090442734194</v>
      </c>
      <c r="M49" t="str">
        <f>J49</f>
        <v>ROCseq3</v>
      </c>
    </row>
    <row r="50" spans="2:13" x14ac:dyDescent="0.2">
      <c r="B50" t="s">
        <v>118</v>
      </c>
      <c r="C50">
        <v>1.2281393632292701E-2</v>
      </c>
      <c r="E50" t="s">
        <v>152</v>
      </c>
      <c r="F50">
        <v>35</v>
      </c>
      <c r="J50" t="s">
        <v>149</v>
      </c>
      <c r="K50">
        <v>1.2015704040872</v>
      </c>
    </row>
    <row r="51" spans="2:13" x14ac:dyDescent="0.2">
      <c r="B51" t="s">
        <v>119</v>
      </c>
      <c r="C51">
        <v>1.2270144186913899E-2</v>
      </c>
      <c r="E51" t="s">
        <v>120</v>
      </c>
      <c r="F51">
        <v>35</v>
      </c>
      <c r="H51" t="str">
        <f t="shared" si="0"/>
        <v>FTseq2</v>
      </c>
      <c r="J51" t="s">
        <v>115</v>
      </c>
      <c r="K51">
        <v>1.19997601159803</v>
      </c>
      <c r="M51" t="str">
        <f>J51</f>
        <v>ROCseq1</v>
      </c>
    </row>
    <row r="52" spans="2:13" x14ac:dyDescent="0.2">
      <c r="B52" t="s">
        <v>120</v>
      </c>
      <c r="C52">
        <v>1.2165601365268199E-2</v>
      </c>
      <c r="E52" t="s">
        <v>110</v>
      </c>
      <c r="F52">
        <v>34</v>
      </c>
      <c r="H52" t="str">
        <f t="shared" si="0"/>
        <v>STOK721seq2</v>
      </c>
      <c r="J52" t="s">
        <v>177</v>
      </c>
      <c r="K52">
        <v>1.18025941476264</v>
      </c>
    </row>
    <row r="53" spans="2:13" x14ac:dyDescent="0.2">
      <c r="B53" t="s">
        <v>121</v>
      </c>
      <c r="C53">
        <v>1.20693324133753E-2</v>
      </c>
      <c r="E53" t="s">
        <v>189</v>
      </c>
      <c r="F53">
        <v>33</v>
      </c>
      <c r="J53" t="s">
        <v>121</v>
      </c>
      <c r="K53">
        <v>1.1742808255794801</v>
      </c>
      <c r="M53" t="str">
        <f>J53</f>
        <v>SDLR310seq</v>
      </c>
    </row>
    <row r="54" spans="2:13" x14ac:dyDescent="0.2">
      <c r="B54" t="s">
        <v>122</v>
      </c>
      <c r="C54">
        <v>1.2039493769407199E-2</v>
      </c>
      <c r="E54" t="s">
        <v>89</v>
      </c>
      <c r="F54">
        <v>33</v>
      </c>
      <c r="H54" t="str">
        <f t="shared" si="0"/>
        <v>RSIseq1</v>
      </c>
      <c r="J54" t="s">
        <v>186</v>
      </c>
      <c r="K54">
        <v>1.17272051953044</v>
      </c>
    </row>
    <row r="55" spans="2:13" x14ac:dyDescent="0.2">
      <c r="B55" t="s">
        <v>123</v>
      </c>
      <c r="C55">
        <v>1.2035269290208799E-2</v>
      </c>
      <c r="E55" t="s">
        <v>184</v>
      </c>
      <c r="F55">
        <v>32</v>
      </c>
      <c r="J55" t="s">
        <v>150</v>
      </c>
      <c r="K55">
        <v>1.1528399356775301</v>
      </c>
    </row>
    <row r="56" spans="2:13" x14ac:dyDescent="0.2">
      <c r="B56" t="s">
        <v>124</v>
      </c>
      <c r="C56">
        <v>1.2016773223876899E-2</v>
      </c>
      <c r="E56" t="s">
        <v>150</v>
      </c>
      <c r="F56">
        <v>32</v>
      </c>
      <c r="J56" t="s">
        <v>183</v>
      </c>
      <c r="K56">
        <v>1.1397283479057001</v>
      </c>
    </row>
    <row r="57" spans="2:13" x14ac:dyDescent="0.2">
      <c r="B57" t="s">
        <v>125</v>
      </c>
      <c r="C57">
        <v>1.1905185878276801E-2</v>
      </c>
      <c r="E57" t="s">
        <v>149</v>
      </c>
      <c r="F57">
        <v>32</v>
      </c>
      <c r="J57" t="s">
        <v>75</v>
      </c>
      <c r="K57">
        <v>1.1350783681527801</v>
      </c>
      <c r="M57" t="str">
        <f>J57</f>
        <v>ATR2seq2</v>
      </c>
    </row>
    <row r="58" spans="2:13" x14ac:dyDescent="0.2">
      <c r="B58" t="s">
        <v>126</v>
      </c>
      <c r="C58">
        <v>1.18611017242074E-2</v>
      </c>
      <c r="E58" t="s">
        <v>209</v>
      </c>
      <c r="F58">
        <v>32</v>
      </c>
      <c r="J58" t="s">
        <v>107</v>
      </c>
      <c r="K58">
        <v>1.12251250911235</v>
      </c>
      <c r="M58" t="str">
        <f>J58</f>
        <v>CDVseq2</v>
      </c>
    </row>
    <row r="59" spans="2:13" x14ac:dyDescent="0.2">
      <c r="B59" t="s">
        <v>127</v>
      </c>
      <c r="C59">
        <v>1.17410002276301E-2</v>
      </c>
      <c r="E59" t="s">
        <v>107</v>
      </c>
      <c r="F59">
        <v>31</v>
      </c>
      <c r="H59" t="str">
        <f t="shared" si="0"/>
        <v>CDVseq2</v>
      </c>
      <c r="J59" t="s">
        <v>109</v>
      </c>
      <c r="K59">
        <v>1.1173879877000099</v>
      </c>
    </row>
    <row r="60" spans="2:13" x14ac:dyDescent="0.2">
      <c r="B60" t="s">
        <v>128</v>
      </c>
      <c r="C60">
        <v>1.1629209853708701E-2</v>
      </c>
      <c r="E60" t="s">
        <v>160</v>
      </c>
      <c r="F60">
        <v>31</v>
      </c>
      <c r="J60" t="s">
        <v>128</v>
      </c>
      <c r="K60">
        <v>1.0975462734820201</v>
      </c>
      <c r="M60" t="str">
        <f>J60</f>
        <v>HDVseq</v>
      </c>
    </row>
    <row r="61" spans="2:13" x14ac:dyDescent="0.2">
      <c r="B61" t="s">
        <v>129</v>
      </c>
      <c r="C61">
        <v>1.1617583222687199E-2</v>
      </c>
      <c r="E61" t="s">
        <v>115</v>
      </c>
      <c r="F61">
        <v>31</v>
      </c>
      <c r="H61" t="str">
        <f t="shared" si="0"/>
        <v>ROCseq1</v>
      </c>
      <c r="J61" t="s">
        <v>124</v>
      </c>
      <c r="K61">
        <v>1.0798492911173601</v>
      </c>
    </row>
    <row r="62" spans="2:13" x14ac:dyDescent="0.2">
      <c r="B62" t="s">
        <v>130</v>
      </c>
      <c r="C62">
        <v>1.15866344422101E-2</v>
      </c>
      <c r="E62" t="s">
        <v>73</v>
      </c>
      <c r="F62">
        <v>30</v>
      </c>
      <c r="H62" t="str">
        <f t="shared" si="0"/>
        <v>ATR3seq</v>
      </c>
      <c r="J62" t="s">
        <v>93</v>
      </c>
      <c r="K62">
        <v>1.0786950801758</v>
      </c>
    </row>
    <row r="63" spans="2:13" x14ac:dyDescent="0.2">
      <c r="B63" t="s">
        <v>131</v>
      </c>
      <c r="C63">
        <v>1.15560377016663E-2</v>
      </c>
      <c r="E63" t="s">
        <v>167</v>
      </c>
      <c r="F63">
        <v>29</v>
      </c>
      <c r="J63" t="s">
        <v>133</v>
      </c>
      <c r="K63">
        <v>1.0728819066940001</v>
      </c>
    </row>
    <row r="64" spans="2:13" x14ac:dyDescent="0.2">
      <c r="B64" t="s">
        <v>132</v>
      </c>
      <c r="C64">
        <v>1.1541477404534799E-2</v>
      </c>
      <c r="E64" t="s">
        <v>161</v>
      </c>
      <c r="F64">
        <v>29</v>
      </c>
      <c r="J64" t="s">
        <v>129</v>
      </c>
      <c r="K64">
        <v>1.0608541660278299</v>
      </c>
      <c r="M64" t="str">
        <f>J64</f>
        <v>ATR3seq4</v>
      </c>
    </row>
    <row r="65" spans="2:13" x14ac:dyDescent="0.2">
      <c r="B65" t="s">
        <v>133</v>
      </c>
      <c r="C65">
        <v>1.1436863802373401E-2</v>
      </c>
      <c r="E65" t="s">
        <v>157</v>
      </c>
      <c r="F65">
        <v>29</v>
      </c>
      <c r="J65" t="s">
        <v>169</v>
      </c>
      <c r="K65">
        <v>0.98122986946116098</v>
      </c>
    </row>
    <row r="66" spans="2:13" x14ac:dyDescent="0.2">
      <c r="B66" t="s">
        <v>134</v>
      </c>
      <c r="C66">
        <v>1.140699069947E-2</v>
      </c>
      <c r="E66" t="s">
        <v>100</v>
      </c>
      <c r="F66">
        <v>29</v>
      </c>
      <c r="H66" t="str">
        <f t="shared" si="0"/>
        <v>FTseq</v>
      </c>
      <c r="J66" t="s">
        <v>153</v>
      </c>
      <c r="K66">
        <v>0.97272912075921902</v>
      </c>
    </row>
    <row r="67" spans="2:13" x14ac:dyDescent="0.2">
      <c r="B67" t="s">
        <v>135</v>
      </c>
      <c r="C67">
        <v>1.13125294446945E-2</v>
      </c>
      <c r="E67" t="s">
        <v>156</v>
      </c>
      <c r="F67">
        <v>28</v>
      </c>
      <c r="J67" t="s">
        <v>91</v>
      </c>
      <c r="K67">
        <v>0.96906514105449804</v>
      </c>
      <c r="M67" t="str">
        <f>J67</f>
        <v>SD79seq</v>
      </c>
    </row>
    <row r="68" spans="2:13" x14ac:dyDescent="0.2">
      <c r="B68" t="s">
        <v>136</v>
      </c>
      <c r="C68">
        <v>1.12613262608647E-2</v>
      </c>
      <c r="E68" t="s">
        <v>147</v>
      </c>
      <c r="F68">
        <v>28</v>
      </c>
      <c r="H68" t="str">
        <f t="shared" si="0"/>
        <v>SDKC9seq3</v>
      </c>
      <c r="J68" t="s">
        <v>96</v>
      </c>
      <c r="K68">
        <v>0.94191875748890797</v>
      </c>
    </row>
    <row r="69" spans="2:13" x14ac:dyDescent="0.2">
      <c r="B69" t="s">
        <v>137</v>
      </c>
      <c r="C69">
        <v>1.1252747848629899E-2</v>
      </c>
      <c r="E69" t="s">
        <v>129</v>
      </c>
      <c r="F69">
        <v>28</v>
      </c>
      <c r="H69" t="str">
        <f t="shared" si="0"/>
        <v>ATR3seq4</v>
      </c>
      <c r="J69" t="s">
        <v>122</v>
      </c>
      <c r="K69">
        <v>0.91545325823641199</v>
      </c>
    </row>
    <row r="70" spans="2:13" x14ac:dyDescent="0.2">
      <c r="B70" t="s">
        <v>138</v>
      </c>
      <c r="C70">
        <v>1.11649315804243E-2</v>
      </c>
      <c r="E70" t="s">
        <v>210</v>
      </c>
      <c r="F70">
        <v>28</v>
      </c>
      <c r="J70" t="s">
        <v>192</v>
      </c>
      <c r="K70">
        <v>0.91339651486944595</v>
      </c>
    </row>
    <row r="71" spans="2:13" x14ac:dyDescent="0.2">
      <c r="B71" t="s">
        <v>139</v>
      </c>
      <c r="C71">
        <v>1.1128799989819501E-2</v>
      </c>
      <c r="E71" t="s">
        <v>158</v>
      </c>
      <c r="F71">
        <v>27</v>
      </c>
      <c r="J71" t="s">
        <v>209</v>
      </c>
      <c r="K71">
        <v>0.90595723235399095</v>
      </c>
    </row>
    <row r="72" spans="2:13" x14ac:dyDescent="0.2">
      <c r="B72" t="s">
        <v>140</v>
      </c>
      <c r="C72">
        <v>1.1009451001882499E-2</v>
      </c>
      <c r="E72" t="s">
        <v>128</v>
      </c>
      <c r="F72">
        <v>27</v>
      </c>
      <c r="H72" t="str">
        <f t="shared" ref="H72:H78" si="1">E72</f>
        <v>HDVseq</v>
      </c>
      <c r="J72" t="s">
        <v>73</v>
      </c>
      <c r="K72">
        <v>0.87401799264288005</v>
      </c>
      <c r="M72" t="str">
        <f>J72</f>
        <v>ATR3seq</v>
      </c>
    </row>
    <row r="73" spans="2:13" x14ac:dyDescent="0.2">
      <c r="B73" t="s">
        <v>141</v>
      </c>
      <c r="C73">
        <v>1.0954077355563601E-2</v>
      </c>
      <c r="E73" t="s">
        <v>151</v>
      </c>
      <c r="F73">
        <v>27</v>
      </c>
      <c r="J73" t="s">
        <v>173</v>
      </c>
      <c r="K73">
        <v>0.86417770296623497</v>
      </c>
    </row>
    <row r="74" spans="2:13" x14ac:dyDescent="0.2">
      <c r="B74" t="s">
        <v>142</v>
      </c>
      <c r="C74">
        <v>1.09364865347743E-2</v>
      </c>
      <c r="E74" t="s">
        <v>211</v>
      </c>
      <c r="F74">
        <v>27</v>
      </c>
      <c r="J74" t="s">
        <v>137</v>
      </c>
      <c r="K74">
        <v>0.86245823851640702</v>
      </c>
    </row>
    <row r="75" spans="2:13" x14ac:dyDescent="0.2">
      <c r="B75" t="s">
        <v>143</v>
      </c>
      <c r="C75">
        <v>1.08780106529593E-2</v>
      </c>
      <c r="E75" t="s">
        <v>85</v>
      </c>
      <c r="F75">
        <v>25</v>
      </c>
      <c r="H75" t="str">
        <f t="shared" si="1"/>
        <v>CDVseq4</v>
      </c>
      <c r="J75" t="s">
        <v>168</v>
      </c>
      <c r="K75">
        <v>0.83216781245535898</v>
      </c>
    </row>
    <row r="76" spans="2:13" x14ac:dyDescent="0.2">
      <c r="B76" t="s">
        <v>144</v>
      </c>
      <c r="C76">
        <v>1.03872278705239E-2</v>
      </c>
      <c r="E76" t="s">
        <v>112</v>
      </c>
      <c r="F76">
        <v>24</v>
      </c>
      <c r="H76" t="str">
        <f t="shared" si="1"/>
        <v>TSIseq3</v>
      </c>
      <c r="J76" t="s">
        <v>199</v>
      </c>
      <c r="K76">
        <v>0.82642261373021697</v>
      </c>
    </row>
    <row r="77" spans="2:13" x14ac:dyDescent="0.2">
      <c r="B77" t="s">
        <v>145</v>
      </c>
      <c r="C77">
        <v>1.01985465735197E-2</v>
      </c>
      <c r="E77" t="s">
        <v>195</v>
      </c>
      <c r="F77">
        <v>22</v>
      </c>
      <c r="J77" t="s">
        <v>145</v>
      </c>
      <c r="K77">
        <v>0.79841243146309904</v>
      </c>
    </row>
    <row r="78" spans="2:13" x14ac:dyDescent="0.2">
      <c r="B78" t="s">
        <v>146</v>
      </c>
      <c r="C78">
        <v>1.0136734694242399E-2</v>
      </c>
      <c r="E78" t="s">
        <v>138</v>
      </c>
      <c r="F78">
        <v>21</v>
      </c>
      <c r="H78" t="str">
        <f t="shared" si="1"/>
        <v>SDLR2155seq2</v>
      </c>
      <c r="J78" t="s">
        <v>76</v>
      </c>
      <c r="K78">
        <v>0.78970074091289899</v>
      </c>
    </row>
    <row r="79" spans="2:13" x14ac:dyDescent="0.2">
      <c r="B79" t="s">
        <v>147</v>
      </c>
      <c r="C79">
        <v>1.00498124957084E-2</v>
      </c>
      <c r="E79" t="s">
        <v>180</v>
      </c>
      <c r="F79">
        <v>17</v>
      </c>
      <c r="J79" t="s">
        <v>118</v>
      </c>
      <c r="K79">
        <v>0.767170965653174</v>
      </c>
    </row>
    <row r="80" spans="2:13" x14ac:dyDescent="0.2">
      <c r="B80" t="s">
        <v>148</v>
      </c>
      <c r="C80">
        <v>9.9208755418658204E-3</v>
      </c>
      <c r="E80" t="s">
        <v>198</v>
      </c>
      <c r="F80">
        <v>17</v>
      </c>
      <c r="J80" t="s">
        <v>163</v>
      </c>
      <c r="K80">
        <v>0.65430123602030599</v>
      </c>
    </row>
    <row r="81" spans="2:15" x14ac:dyDescent="0.2">
      <c r="E81" t="s">
        <v>212</v>
      </c>
      <c r="F81">
        <v>17</v>
      </c>
    </row>
    <row r="86" spans="2:15" x14ac:dyDescent="0.2">
      <c r="B86" t="s">
        <v>46</v>
      </c>
      <c r="C86" t="s">
        <v>47</v>
      </c>
      <c r="F86" t="s">
        <v>46</v>
      </c>
      <c r="K86" t="s">
        <v>46</v>
      </c>
      <c r="L86" t="s">
        <v>47</v>
      </c>
    </row>
    <row r="87" spans="2:15" x14ac:dyDescent="0.2">
      <c r="B87" t="s">
        <v>142</v>
      </c>
      <c r="C87">
        <v>5.6163298329596802E-3</v>
      </c>
      <c r="D87">
        <v>8.8356196159522201E-4</v>
      </c>
      <c r="F87" t="s">
        <v>197</v>
      </c>
      <c r="G87">
        <v>8.0576745060525405E-4</v>
      </c>
      <c r="K87" t="s">
        <v>165</v>
      </c>
      <c r="L87">
        <v>5.7022940650968803E-3</v>
      </c>
      <c r="M87">
        <v>1.0594481123598399E-3</v>
      </c>
    </row>
    <row r="88" spans="2:15" x14ac:dyDescent="0.2">
      <c r="B88" t="s">
        <v>149</v>
      </c>
      <c r="C88">
        <v>5.0668329765536802E-3</v>
      </c>
      <c r="D88">
        <v>1.44618249643506E-3</v>
      </c>
      <c r="F88" t="s">
        <v>164</v>
      </c>
      <c r="G88">
        <v>4.3600340578084297E-4</v>
      </c>
      <c r="I88" t="str">
        <f>F88</f>
        <v>CDseq14</v>
      </c>
      <c r="K88" t="s">
        <v>161</v>
      </c>
      <c r="L88">
        <v>3.13685168641599E-3</v>
      </c>
      <c r="M88">
        <v>1.11577942237273E-3</v>
      </c>
    </row>
    <row r="89" spans="2:15" x14ac:dyDescent="0.2">
      <c r="B89" t="s">
        <v>150</v>
      </c>
      <c r="C89">
        <v>4.0285198981913801E-3</v>
      </c>
      <c r="D89">
        <v>1.3235989550322001E-3</v>
      </c>
      <c r="F89" t="s">
        <v>187</v>
      </c>
      <c r="G89">
        <v>4.7431741742866599E-4</v>
      </c>
      <c r="K89" t="s">
        <v>198</v>
      </c>
      <c r="L89">
        <v>3.0576297469954998E-3</v>
      </c>
      <c r="M89">
        <v>7.4487078901010195E-4</v>
      </c>
    </row>
    <row r="90" spans="2:15" x14ac:dyDescent="0.2">
      <c r="B90" t="s">
        <v>109</v>
      </c>
      <c r="C90">
        <v>3.6644360914929101E-3</v>
      </c>
      <c r="D90">
        <v>6.6074468623055404E-4</v>
      </c>
      <c r="F90" t="s">
        <v>154</v>
      </c>
      <c r="G90">
        <v>7.2577578982962901E-4</v>
      </c>
      <c r="I90" t="str">
        <f t="shared" ref="I90:I91" si="2">F90</f>
        <v>SDLR921seq2</v>
      </c>
      <c r="K90" t="s">
        <v>192</v>
      </c>
      <c r="L90">
        <v>2.6379220253847299E-3</v>
      </c>
      <c r="M90">
        <v>8.4930979642080899E-4</v>
      </c>
    </row>
    <row r="91" spans="2:15" x14ac:dyDescent="0.2">
      <c r="B91" t="s">
        <v>128</v>
      </c>
      <c r="C91">
        <v>3.6526370792387998E-3</v>
      </c>
      <c r="D91">
        <v>8.6658954767886197E-4</v>
      </c>
      <c r="F91" t="s">
        <v>141</v>
      </c>
      <c r="G91">
        <v>4.19650178019332E-4</v>
      </c>
      <c r="I91" t="str">
        <f t="shared" si="2"/>
        <v>CDseq9</v>
      </c>
      <c r="K91" t="s">
        <v>137</v>
      </c>
      <c r="L91">
        <v>2.6294941594889698E-3</v>
      </c>
      <c r="M91">
        <v>6.5434115811626196E-4</v>
      </c>
    </row>
    <row r="92" spans="2:15" x14ac:dyDescent="0.2">
      <c r="B92" t="s">
        <v>151</v>
      </c>
      <c r="C92">
        <v>3.5784718593557599E-3</v>
      </c>
      <c r="D92">
        <v>1.42220929947763E-3</v>
      </c>
      <c r="F92" t="s">
        <v>135</v>
      </c>
      <c r="G92">
        <v>4.3998303310547899E-4</v>
      </c>
      <c r="K92" t="s">
        <v>96</v>
      </c>
      <c r="L92">
        <v>2.5856692568308201E-3</v>
      </c>
      <c r="M92">
        <v>6.7797768012923501E-4</v>
      </c>
    </row>
    <row r="93" spans="2:15" x14ac:dyDescent="0.2">
      <c r="B93" t="s">
        <v>114</v>
      </c>
      <c r="C93">
        <v>3.4722807490687201E-3</v>
      </c>
      <c r="D93">
        <v>7.8920113082246203E-4</v>
      </c>
      <c r="F93" t="s">
        <v>171</v>
      </c>
      <c r="G93">
        <v>3.8468015049241902E-4</v>
      </c>
      <c r="K93" t="s">
        <v>142</v>
      </c>
      <c r="L93">
        <v>2.39688506076494E-3</v>
      </c>
      <c r="M93">
        <v>8.6039554174720896E-4</v>
      </c>
    </row>
    <row r="94" spans="2:15" x14ac:dyDescent="0.2">
      <c r="B94" t="s">
        <v>152</v>
      </c>
      <c r="C94">
        <v>3.2582129553154699E-3</v>
      </c>
      <c r="D94">
        <v>8.1167130843585403E-4</v>
      </c>
      <c r="F94" t="s">
        <v>116</v>
      </c>
      <c r="G94">
        <v>4.1623761283859602E-4</v>
      </c>
      <c r="K94" t="s">
        <v>138</v>
      </c>
      <c r="L94">
        <v>2.3850860485108002E-3</v>
      </c>
      <c r="M94">
        <v>1.0641094368389801E-3</v>
      </c>
    </row>
    <row r="95" spans="2:15" x14ac:dyDescent="0.2">
      <c r="B95" t="s">
        <v>153</v>
      </c>
      <c r="C95">
        <v>3.1638208572825201E-3</v>
      </c>
      <c r="D95">
        <v>1.40783305974353E-3</v>
      </c>
      <c r="F95" t="s">
        <v>167</v>
      </c>
      <c r="G95">
        <v>4.6670900675002301E-4</v>
      </c>
      <c r="I95" t="str">
        <f t="shared" ref="I95" si="3">F95</f>
        <v>CDseq10</v>
      </c>
      <c r="K95" t="s">
        <v>153</v>
      </c>
      <c r="L95">
        <v>2.3109208286277998E-3</v>
      </c>
      <c r="M95">
        <v>6.0146626863556197E-4</v>
      </c>
      <c r="O95" t="str">
        <f>K95</f>
        <v>HDVseq2</v>
      </c>
    </row>
    <row r="96" spans="2:15" x14ac:dyDescent="0.2">
      <c r="B96" t="s">
        <v>130</v>
      </c>
      <c r="C96">
        <v>2.67331906214708E-3</v>
      </c>
      <c r="D96">
        <v>1.38586920653574E-3</v>
      </c>
      <c r="F96" t="s">
        <v>178</v>
      </c>
      <c r="G96">
        <v>7.0625516206786697E-4</v>
      </c>
      <c r="K96" t="s">
        <v>185</v>
      </c>
      <c r="L96">
        <v>2.2670959259696601E-3</v>
      </c>
      <c r="M96">
        <v>1.08179792490047E-3</v>
      </c>
    </row>
    <row r="97" spans="2:15" x14ac:dyDescent="0.2">
      <c r="B97" t="s">
        <v>154</v>
      </c>
      <c r="C97">
        <v>2.3749726094358498E-3</v>
      </c>
      <c r="D97">
        <v>7.7343568125912002E-4</v>
      </c>
      <c r="F97" t="s">
        <v>156</v>
      </c>
      <c r="G97">
        <v>7.0602984665660295E-4</v>
      </c>
      <c r="I97" t="str">
        <f t="shared" ref="I97:I100" si="4">F97</f>
        <v>SDLR2155seq3</v>
      </c>
      <c r="K97" t="s">
        <v>197</v>
      </c>
      <c r="L97">
        <v>2.22495659649066E-3</v>
      </c>
      <c r="M97">
        <v>6.3158406780033395E-4</v>
      </c>
    </row>
    <row r="98" spans="2:15" x14ac:dyDescent="0.2">
      <c r="B98" t="s">
        <v>108</v>
      </c>
      <c r="C98">
        <v>2.26372477961129E-3</v>
      </c>
      <c r="D98">
        <v>1.0902688121180301E-3</v>
      </c>
      <c r="F98" t="s">
        <v>168</v>
      </c>
      <c r="G98">
        <v>3.2238542477344299E-4</v>
      </c>
      <c r="I98" t="str">
        <f t="shared" si="4"/>
        <v>CDseq5</v>
      </c>
      <c r="K98" t="s">
        <v>123</v>
      </c>
      <c r="L98">
        <v>2.1558480961451202E-3</v>
      </c>
      <c r="M98">
        <v>8.3033771083308998E-4</v>
      </c>
    </row>
    <row r="99" spans="2:15" x14ac:dyDescent="0.2">
      <c r="B99" t="s">
        <v>155</v>
      </c>
      <c r="C99">
        <v>1.9940330709457802E-3</v>
      </c>
      <c r="D99">
        <v>5.7428593837860096E-4</v>
      </c>
      <c r="F99" t="s">
        <v>153</v>
      </c>
      <c r="G99">
        <v>5.7785667277607798E-4</v>
      </c>
      <c r="I99" t="str">
        <f t="shared" si="4"/>
        <v>HDVseq2</v>
      </c>
      <c r="K99" t="s">
        <v>183</v>
      </c>
      <c r="L99">
        <v>2.0614559981121899E-3</v>
      </c>
      <c r="M99">
        <v>1.2689142222776001E-3</v>
      </c>
    </row>
    <row r="100" spans="2:15" x14ac:dyDescent="0.2">
      <c r="B100" t="s">
        <v>107</v>
      </c>
      <c r="C100">
        <v>1.91986785106275E-3</v>
      </c>
      <c r="D100">
        <v>7.6794277479296695E-4</v>
      </c>
      <c r="F100" t="s">
        <v>109</v>
      </c>
      <c r="G100">
        <v>7.5913695045677697E-4</v>
      </c>
      <c r="I100" t="str">
        <f t="shared" si="4"/>
        <v>HDVseq1</v>
      </c>
      <c r="K100" t="s">
        <v>166</v>
      </c>
      <c r="L100">
        <v>1.9704350464375599E-3</v>
      </c>
      <c r="M100">
        <v>9.0298437955166604E-4</v>
      </c>
      <c r="O100" t="str">
        <f>K100</f>
        <v>SDLR9seq3</v>
      </c>
    </row>
    <row r="101" spans="2:15" x14ac:dyDescent="0.2">
      <c r="B101" t="s">
        <v>156</v>
      </c>
      <c r="C101">
        <v>1.9131255583460999E-3</v>
      </c>
      <c r="D101">
        <v>4.3278547967931101E-4</v>
      </c>
      <c r="F101" t="s">
        <v>91</v>
      </c>
      <c r="G101">
        <v>7.0798086680427797E-4</v>
      </c>
      <c r="K101" t="s">
        <v>195</v>
      </c>
      <c r="L101">
        <v>1.8659295093297001E-3</v>
      </c>
      <c r="M101">
        <v>7.3209199336750201E-4</v>
      </c>
    </row>
    <row r="102" spans="2:15" x14ac:dyDescent="0.2">
      <c r="B102" t="s">
        <v>157</v>
      </c>
      <c r="C102">
        <v>1.8052488748799E-3</v>
      </c>
      <c r="D102">
        <v>9.6209026555498401E-4</v>
      </c>
      <c r="F102" t="s">
        <v>172</v>
      </c>
      <c r="G102">
        <v>5.9360182373479101E-4</v>
      </c>
      <c r="K102" t="s">
        <v>189</v>
      </c>
      <c r="L102">
        <v>1.85918721661304E-3</v>
      </c>
      <c r="M102">
        <v>6.3932126421424704E-4</v>
      </c>
    </row>
    <row r="103" spans="2:15" x14ac:dyDescent="0.2">
      <c r="B103" t="s">
        <v>158</v>
      </c>
      <c r="C103">
        <v>1.7799652771925099E-3</v>
      </c>
      <c r="D103">
        <v>5.9351327056299003E-4</v>
      </c>
      <c r="F103" t="s">
        <v>128</v>
      </c>
      <c r="G103">
        <v>5.8647531967854604E-4</v>
      </c>
      <c r="I103" t="str">
        <f t="shared" ref="I103:I104" si="5">F103</f>
        <v>HDVseq</v>
      </c>
      <c r="K103" t="s">
        <v>107</v>
      </c>
      <c r="L103">
        <v>1.8305324725673101E-3</v>
      </c>
      <c r="M103">
        <v>5.64714812831891E-4</v>
      </c>
    </row>
    <row r="104" spans="2:15" x14ac:dyDescent="0.2">
      <c r="B104" t="s">
        <v>159</v>
      </c>
      <c r="C104">
        <v>1.7580528258634501E-3</v>
      </c>
      <c r="D104">
        <v>7.1010659430588896E-4</v>
      </c>
      <c r="F104" t="s">
        <v>169</v>
      </c>
      <c r="G104">
        <v>3.9128903187251202E-4</v>
      </c>
      <c r="I104" t="str">
        <f t="shared" si="5"/>
        <v>CDseq13</v>
      </c>
      <c r="K104" t="s">
        <v>200</v>
      </c>
      <c r="L104">
        <v>1.75805282586346E-3</v>
      </c>
      <c r="M104">
        <v>9.5840955786303801E-4</v>
      </c>
    </row>
    <row r="105" spans="2:15" x14ac:dyDescent="0.2">
      <c r="B105" t="s">
        <v>160</v>
      </c>
      <c r="C105">
        <v>1.7479393867884899E-3</v>
      </c>
      <c r="D105">
        <v>5.9494047855977803E-4</v>
      </c>
      <c r="F105" t="s">
        <v>184</v>
      </c>
      <c r="G105">
        <v>2.8078330433259298E-4</v>
      </c>
      <c r="K105" t="s">
        <v>169</v>
      </c>
      <c r="L105">
        <v>1.6788308864429901E-3</v>
      </c>
      <c r="M105">
        <v>6.1799650550146198E-4</v>
      </c>
      <c r="O105" t="str">
        <f>K105</f>
        <v>CDseq13</v>
      </c>
    </row>
    <row r="106" spans="2:15" x14ac:dyDescent="0.2">
      <c r="B106" t="s">
        <v>161</v>
      </c>
      <c r="C106">
        <v>1.2978913479528701E-3</v>
      </c>
      <c r="D106">
        <v>4.31322334898094E-4</v>
      </c>
      <c r="F106" t="s">
        <v>166</v>
      </c>
      <c r="G106">
        <v>5.21940123247568E-4</v>
      </c>
      <c r="I106" t="str">
        <f t="shared" ref="I106" si="6">F106</f>
        <v>SDLR9seq3</v>
      </c>
      <c r="K106" t="s">
        <v>173</v>
      </c>
      <c r="L106">
        <v>1.6484905692180801E-3</v>
      </c>
      <c r="M106">
        <v>8.4126145145232002E-4</v>
      </c>
    </row>
    <row r="107" spans="2:15" x14ac:dyDescent="0.2">
      <c r="B107" t="s">
        <v>162</v>
      </c>
      <c r="C107">
        <v>1.24395300621977E-3</v>
      </c>
      <c r="D107">
        <v>1.0912000320248401E-3</v>
      </c>
      <c r="F107" t="s">
        <v>136</v>
      </c>
      <c r="G107">
        <v>6.15151080620256E-4</v>
      </c>
      <c r="K107" t="s">
        <v>184</v>
      </c>
      <c r="L107">
        <v>1.58949550794751E-3</v>
      </c>
      <c r="M107">
        <v>5.9081924739144503E-4</v>
      </c>
    </row>
    <row r="108" spans="2:15" x14ac:dyDescent="0.2">
      <c r="B108" t="s">
        <v>163</v>
      </c>
      <c r="C108">
        <v>1.23046842078651E-3</v>
      </c>
      <c r="D108">
        <v>6.4087256734798198E-4</v>
      </c>
      <c r="F108" t="s">
        <v>194</v>
      </c>
      <c r="G108">
        <v>3.0809124019577102E-4</v>
      </c>
      <c r="K108" t="s">
        <v>155</v>
      </c>
      <c r="L108">
        <v>1.5658974834392701E-3</v>
      </c>
      <c r="M108">
        <v>9.6695061765597601E-4</v>
      </c>
      <c r="O108" t="str">
        <f>K108</f>
        <v>CDseq11</v>
      </c>
    </row>
    <row r="109" spans="2:15" x14ac:dyDescent="0.2">
      <c r="B109" t="s">
        <v>133</v>
      </c>
      <c r="C109">
        <v>1.2203549817115199E-3</v>
      </c>
      <c r="D109">
        <v>1.09839894783584E-3</v>
      </c>
      <c r="F109" t="s">
        <v>199</v>
      </c>
      <c r="G109">
        <v>2.5892071993289801E-4</v>
      </c>
      <c r="K109" t="s">
        <v>178</v>
      </c>
      <c r="L109">
        <v>1.5422994589310501E-3</v>
      </c>
      <c r="M109">
        <v>1.02552272502721E-3</v>
      </c>
    </row>
    <row r="110" spans="2:15" x14ac:dyDescent="0.2">
      <c r="B110" t="s">
        <v>164</v>
      </c>
      <c r="C110">
        <v>1.2051848230991099E-3</v>
      </c>
      <c r="D110">
        <v>6.1356947499018695E-4</v>
      </c>
      <c r="F110" t="s">
        <v>162</v>
      </c>
      <c r="G110">
        <v>2.1736052722042199E-4</v>
      </c>
      <c r="I110" t="str">
        <f t="shared" ref="I110:I111" si="7">F110</f>
        <v>HDVseq6</v>
      </c>
      <c r="K110" t="s">
        <v>174</v>
      </c>
      <c r="L110">
        <v>1.48667554401876E-3</v>
      </c>
      <c r="M110">
        <v>6.5285450129136998E-4</v>
      </c>
    </row>
    <row r="111" spans="2:15" x14ac:dyDescent="0.2">
      <c r="B111" t="s">
        <v>141</v>
      </c>
      <c r="C111">
        <v>1.20012810356161E-3</v>
      </c>
      <c r="D111">
        <v>4.8283949098798501E-4</v>
      </c>
      <c r="F111" t="s">
        <v>157</v>
      </c>
      <c r="G111">
        <v>4.1671855426706899E-4</v>
      </c>
      <c r="I111" t="str">
        <f t="shared" si="7"/>
        <v>SDLR2155seq</v>
      </c>
      <c r="K111" t="s">
        <v>151</v>
      </c>
      <c r="L111">
        <v>1.4833043976604601E-3</v>
      </c>
      <c r="M111">
        <v>8.4883296387911204E-4</v>
      </c>
    </row>
    <row r="112" spans="2:15" x14ac:dyDescent="0.2">
      <c r="B112" t="s">
        <v>165</v>
      </c>
      <c r="C112">
        <v>1.1023648591703601E-3</v>
      </c>
      <c r="D112">
        <v>8.9947719010417804E-4</v>
      </c>
      <c r="F112" t="s">
        <v>174</v>
      </c>
      <c r="G112">
        <v>4.1656512264955499E-4</v>
      </c>
      <c r="K112" t="s">
        <v>152</v>
      </c>
      <c r="L112">
        <v>1.3636287019401199E-3</v>
      </c>
      <c r="M112">
        <v>6.8920982873618404E-4</v>
      </c>
    </row>
    <row r="113" spans="2:13" x14ac:dyDescent="0.2">
      <c r="B113" t="s">
        <v>166</v>
      </c>
      <c r="C113">
        <v>1.08213798102044E-3</v>
      </c>
      <c r="D113">
        <v>7.1404667931289497E-4</v>
      </c>
      <c r="F113" t="s">
        <v>176</v>
      </c>
      <c r="G113">
        <v>4.71647351264136E-4</v>
      </c>
      <c r="K113" t="s">
        <v>177</v>
      </c>
      <c r="L113">
        <v>1.3316028115360899E-3</v>
      </c>
      <c r="M113">
        <v>7.6108808780360503E-4</v>
      </c>
    </row>
    <row r="114" spans="2:13" x14ac:dyDescent="0.2">
      <c r="B114" t="s">
        <v>167</v>
      </c>
      <c r="C114">
        <v>1.03494193200398E-3</v>
      </c>
      <c r="D114">
        <v>7.5607680920588595E-4</v>
      </c>
      <c r="F114" t="s">
        <v>155</v>
      </c>
      <c r="G114">
        <v>3.1520218450284101E-4</v>
      </c>
      <c r="I114" t="str">
        <f t="shared" ref="I114:I115" si="8">F114</f>
        <v>CDseq11</v>
      </c>
      <c r="K114" t="s">
        <v>133</v>
      </c>
      <c r="L114">
        <v>1.3231749456403101E-3</v>
      </c>
      <c r="M114">
        <v>9.3019360403810496E-4</v>
      </c>
    </row>
    <row r="115" spans="2:13" x14ac:dyDescent="0.2">
      <c r="B115" t="s">
        <v>168</v>
      </c>
      <c r="C115">
        <v>1.01134390749575E-3</v>
      </c>
      <c r="D115">
        <v>7.3534276991002196E-4</v>
      </c>
      <c r="F115" t="s">
        <v>130</v>
      </c>
      <c r="G115">
        <v>2.3243803564566699E-4</v>
      </c>
      <c r="I115" t="str">
        <f t="shared" si="8"/>
        <v>HLCseq12</v>
      </c>
      <c r="K115" t="s">
        <v>172</v>
      </c>
      <c r="L115">
        <v>1.3130615065653399E-3</v>
      </c>
      <c r="M115">
        <v>7.3249549308975403E-4</v>
      </c>
    </row>
    <row r="116" spans="2:13" x14ac:dyDescent="0.2">
      <c r="B116" t="s">
        <v>169</v>
      </c>
      <c r="C116">
        <v>1.0113439074957401E-3</v>
      </c>
      <c r="D116">
        <v>5.5868551232451599E-4</v>
      </c>
      <c r="F116" t="s">
        <v>183</v>
      </c>
      <c r="G116">
        <v>3.4619555810852097E-4</v>
      </c>
      <c r="K116" t="s">
        <v>150</v>
      </c>
      <c r="L116">
        <v>1.27429332344467E-3</v>
      </c>
      <c r="M116">
        <v>9.1940871112987995E-4</v>
      </c>
    </row>
    <row r="119" spans="2:13" x14ac:dyDescent="0.2">
      <c r="B119" t="s">
        <v>123</v>
      </c>
      <c r="C119">
        <v>1.00291604159995E-3</v>
      </c>
      <c r="D119">
        <v>2.24282597772216E-4</v>
      </c>
      <c r="F119" t="s">
        <v>145</v>
      </c>
      <c r="G119">
        <v>2.2557100806549999E-4</v>
      </c>
      <c r="K119" t="s">
        <v>187</v>
      </c>
      <c r="L119">
        <v>1.2692366039071901E-3</v>
      </c>
      <c r="M119">
        <v>5.0741352294589304E-4</v>
      </c>
    </row>
    <row r="120" spans="2:13" x14ac:dyDescent="0.2">
      <c r="B120" t="s">
        <v>145</v>
      </c>
      <c r="C120">
        <v>9.4729212668769297E-4</v>
      </c>
      <c r="D120">
        <v>9.3535795510850503E-4</v>
      </c>
      <c r="F120" t="s">
        <v>158</v>
      </c>
      <c r="G120">
        <v>1.05579465612387E-3</v>
      </c>
      <c r="K120" t="s">
        <v>201</v>
      </c>
      <c r="L120">
        <v>1.25743759165306E-3</v>
      </c>
      <c r="M120">
        <v>7.9911813831221295E-4</v>
      </c>
    </row>
    <row r="121" spans="2:13" x14ac:dyDescent="0.2">
      <c r="B121" t="s">
        <v>170</v>
      </c>
      <c r="C121">
        <v>9.2369410217946202E-4</v>
      </c>
      <c r="D121">
        <v>7.0071205080324001E-4</v>
      </c>
      <c r="F121" t="s">
        <v>148</v>
      </c>
      <c r="G121">
        <v>5.0155645427845405E-4</v>
      </c>
      <c r="K121" t="s">
        <v>158</v>
      </c>
      <c r="L121">
        <v>1.1967569572033201E-3</v>
      </c>
      <c r="M121">
        <v>5.3083513969735395E-4</v>
      </c>
    </row>
    <row r="122" spans="2:13" x14ac:dyDescent="0.2">
      <c r="B122" t="s">
        <v>85</v>
      </c>
      <c r="C122">
        <v>9.18637382641984E-4</v>
      </c>
      <c r="D122">
        <v>7.0283550833275595E-4</v>
      </c>
      <c r="F122" t="s">
        <v>149</v>
      </c>
      <c r="G122">
        <v>4.7656135107651402E-4</v>
      </c>
      <c r="K122" t="s">
        <v>188</v>
      </c>
      <c r="L122">
        <v>1.10742157870786E-3</v>
      </c>
      <c r="M122">
        <v>8.8841220147433102E-4</v>
      </c>
    </row>
    <row r="123" spans="2:13" x14ac:dyDescent="0.2">
      <c r="B123" t="s">
        <v>138</v>
      </c>
      <c r="C123">
        <v>8.9841050449204199E-4</v>
      </c>
      <c r="D123">
        <v>5.0741352294589195E-4</v>
      </c>
      <c r="F123" t="s">
        <v>114</v>
      </c>
      <c r="G123">
        <v>4.0818722141240101E-4</v>
      </c>
      <c r="K123" t="s">
        <v>196</v>
      </c>
      <c r="L123">
        <v>1.0956225664537501E-3</v>
      </c>
      <c r="M123">
        <v>7.7021657314854696E-4</v>
      </c>
    </row>
    <row r="124" spans="2:13" x14ac:dyDescent="0.2">
      <c r="B124" t="s">
        <v>171</v>
      </c>
      <c r="C124">
        <v>7.7367808923424204E-4</v>
      </c>
      <c r="D124">
        <v>3.4440595404866802E-4</v>
      </c>
      <c r="F124" t="s">
        <v>179</v>
      </c>
      <c r="G124">
        <v>2.7329686214111199E-4</v>
      </c>
      <c r="K124" t="s">
        <v>85</v>
      </c>
      <c r="L124">
        <v>1.0804524078413E-3</v>
      </c>
      <c r="M124">
        <v>8.6190165596011705E-4</v>
      </c>
    </row>
    <row r="125" spans="2:13" x14ac:dyDescent="0.2">
      <c r="B125" t="s">
        <v>172</v>
      </c>
      <c r="C125">
        <v>7.3996662565104497E-4</v>
      </c>
      <c r="D125">
        <v>6.3885002434434105E-4</v>
      </c>
      <c r="F125" t="s">
        <v>108</v>
      </c>
      <c r="G125">
        <v>4.9177446058708198E-4</v>
      </c>
      <c r="K125" t="s">
        <v>164</v>
      </c>
      <c r="L125">
        <v>1.05685438333309E-3</v>
      </c>
      <c r="M125">
        <v>7.5996922594807404E-4</v>
      </c>
    </row>
    <row r="126" spans="2:13" x14ac:dyDescent="0.2">
      <c r="B126" t="s">
        <v>125</v>
      </c>
      <c r="C126">
        <v>7.1973974750113505E-4</v>
      </c>
      <c r="D126">
        <v>6.2000917368247002E-4</v>
      </c>
      <c r="F126" t="s">
        <v>189</v>
      </c>
      <c r="G126">
        <v>3.3382860857760301E-4</v>
      </c>
      <c r="K126" t="s">
        <v>145</v>
      </c>
      <c r="L126">
        <v>1.0450553710789499E-3</v>
      </c>
      <c r="M126">
        <v>8.6747266685362505E-4</v>
      </c>
    </row>
    <row r="127" spans="2:13" x14ac:dyDescent="0.2">
      <c r="B127" t="s">
        <v>173</v>
      </c>
      <c r="C127">
        <v>6.5737353987222998E-4</v>
      </c>
      <c r="D127">
        <v>3.4180165808178999E-4</v>
      </c>
      <c r="F127" t="s">
        <v>195</v>
      </c>
      <c r="G127">
        <v>7.7746594672554396E-4</v>
      </c>
      <c r="K127" t="s">
        <v>113</v>
      </c>
      <c r="L127">
        <v>1.00291604159997E-3</v>
      </c>
      <c r="M127">
        <v>3.8156924339923502E-4</v>
      </c>
    </row>
    <row r="128" spans="2:13" x14ac:dyDescent="0.2">
      <c r="B128" t="s">
        <v>174</v>
      </c>
      <c r="C128">
        <v>6.0512077131828995E-4</v>
      </c>
      <c r="D128">
        <v>6.8324787305393297E-4</v>
      </c>
      <c r="F128" t="s">
        <v>107</v>
      </c>
      <c r="G128">
        <v>4.5191282585211202E-4</v>
      </c>
      <c r="K128" t="s">
        <v>141</v>
      </c>
      <c r="L128">
        <v>9.2200852900032801E-4</v>
      </c>
      <c r="M128">
        <v>9.7139481408657397E-4</v>
      </c>
    </row>
    <row r="129" spans="2:13" x14ac:dyDescent="0.2">
      <c r="B129" t="s">
        <v>175</v>
      </c>
      <c r="C129">
        <v>6.0343519813914597E-4</v>
      </c>
      <c r="D129">
        <v>6.5986691715033002E-4</v>
      </c>
      <c r="F129" t="s">
        <v>190</v>
      </c>
      <c r="G129">
        <v>5.4552450350231496E-4</v>
      </c>
      <c r="K129" t="s">
        <v>190</v>
      </c>
      <c r="L129">
        <v>9.2200852900032801E-4</v>
      </c>
      <c r="M129">
        <v>5.5680327468591803E-4</v>
      </c>
    </row>
    <row r="130" spans="2:13" x14ac:dyDescent="0.2">
      <c r="B130" t="s">
        <v>144</v>
      </c>
      <c r="C130">
        <v>5.8826503952670302E-4</v>
      </c>
      <c r="D130">
        <v>1.1186022920602E-3</v>
      </c>
      <c r="F130" t="s">
        <v>188</v>
      </c>
      <c r="G130">
        <v>2.11504175033357E-4</v>
      </c>
      <c r="K130" t="s">
        <v>159</v>
      </c>
      <c r="L130">
        <v>9.0852394356704096E-4</v>
      </c>
      <c r="M130">
        <v>8.15909702107945E-4</v>
      </c>
    </row>
    <row r="131" spans="2:13" x14ac:dyDescent="0.2">
      <c r="B131" t="s">
        <v>176</v>
      </c>
      <c r="C131">
        <v>4.9555851467292201E-4</v>
      </c>
      <c r="D131">
        <v>4.8085831238768502E-4</v>
      </c>
      <c r="F131" t="s">
        <v>85</v>
      </c>
      <c r="G131">
        <v>3.7781287158882303E-4</v>
      </c>
      <c r="K131" t="s">
        <v>128</v>
      </c>
      <c r="L131">
        <v>8.8998263859630896E-4</v>
      </c>
      <c r="M131">
        <v>6.3864319146852901E-4</v>
      </c>
    </row>
    <row r="132" spans="2:13" x14ac:dyDescent="0.2">
      <c r="B132" t="s">
        <v>177</v>
      </c>
      <c r="C132">
        <v>4.50048038835626E-4</v>
      </c>
      <c r="D132">
        <v>4.3967619848154198E-4</v>
      </c>
      <c r="F132" t="s">
        <v>173</v>
      </c>
      <c r="G132">
        <v>5.6946685114349805E-4</v>
      </c>
      <c r="K132" t="s">
        <v>160</v>
      </c>
      <c r="L132">
        <v>8.8492591905882097E-4</v>
      </c>
      <c r="M132">
        <v>7.6852710488991205E-4</v>
      </c>
    </row>
    <row r="133" spans="2:13" x14ac:dyDescent="0.2">
      <c r="B133" t="s">
        <v>178</v>
      </c>
      <c r="C133">
        <v>4.3824902658150499E-4</v>
      </c>
      <c r="D133">
        <v>4.96028417737697E-4</v>
      </c>
      <c r="F133" t="s">
        <v>165</v>
      </c>
      <c r="G133">
        <v>1.97442433142731E-4</v>
      </c>
      <c r="K133" t="s">
        <v>156</v>
      </c>
      <c r="L133">
        <v>8.5964232137142305E-4</v>
      </c>
      <c r="M133">
        <v>1.1105356390114199E-3</v>
      </c>
    </row>
    <row r="134" spans="2:13" x14ac:dyDescent="0.2">
      <c r="B134" t="s">
        <v>179</v>
      </c>
      <c r="C134">
        <v>4.3656345340232702E-4</v>
      </c>
      <c r="D134">
        <v>7.9766801118736003E-4</v>
      </c>
      <c r="F134" t="s">
        <v>137</v>
      </c>
      <c r="G134">
        <v>4.2334739998888899E-4</v>
      </c>
      <c r="K134" t="s">
        <v>144</v>
      </c>
      <c r="L134">
        <v>8.5795674819226704E-4</v>
      </c>
      <c r="M134">
        <v>6.9866754118105801E-4</v>
      </c>
    </row>
    <row r="135" spans="2:13" x14ac:dyDescent="0.2">
      <c r="B135" t="s">
        <v>180</v>
      </c>
      <c r="C135">
        <v>3.6914052623594399E-4</v>
      </c>
      <c r="D135">
        <v>8.7570190655259699E-4</v>
      </c>
      <c r="F135" t="s">
        <v>159</v>
      </c>
      <c r="G135">
        <v>1.7481271141253299E-4</v>
      </c>
      <c r="K135" t="s">
        <v>136</v>
      </c>
      <c r="L135">
        <v>8.1076069917579397E-4</v>
      </c>
      <c r="M135">
        <v>7.9298828798588298E-4</v>
      </c>
    </row>
    <row r="136" spans="2:13" x14ac:dyDescent="0.2">
      <c r="B136" t="s">
        <v>116</v>
      </c>
      <c r="C136">
        <v>3.3542906265277001E-4</v>
      </c>
      <c r="D136">
        <v>6.4036032069883595E-4</v>
      </c>
      <c r="F136" t="s">
        <v>133</v>
      </c>
      <c r="G136">
        <v>4.7491304752313499E-4</v>
      </c>
      <c r="K136" t="s">
        <v>176</v>
      </c>
      <c r="L136">
        <v>7.8210595513007405E-4</v>
      </c>
      <c r="M136">
        <v>5.0534597119386798E-4</v>
      </c>
    </row>
    <row r="137" spans="2:13" x14ac:dyDescent="0.2">
      <c r="B137" t="s">
        <v>181</v>
      </c>
      <c r="C137">
        <v>2.6800613548637602E-4</v>
      </c>
      <c r="D137">
        <v>5.73860314035836E-4</v>
      </c>
      <c r="F137" t="s">
        <v>196</v>
      </c>
      <c r="G137">
        <v>4.08733249643714E-4</v>
      </c>
      <c r="K137" t="s">
        <v>182</v>
      </c>
      <c r="L137">
        <v>7.1131188160536896E-4</v>
      </c>
      <c r="M137">
        <v>6.8496517635863196E-4</v>
      </c>
    </row>
    <row r="138" spans="2:13" x14ac:dyDescent="0.2">
      <c r="B138" t="s">
        <v>182</v>
      </c>
      <c r="C138">
        <v>2.61263842769721E-4</v>
      </c>
      <c r="D138">
        <v>8.2679898772470802E-4</v>
      </c>
      <c r="F138" t="s">
        <v>144</v>
      </c>
      <c r="G138">
        <v>2.2641960133101501E-4</v>
      </c>
      <c r="K138" t="s">
        <v>125</v>
      </c>
      <c r="L138">
        <v>6.8602828391799403E-4</v>
      </c>
      <c r="M138">
        <v>7.7051346245238402E-4</v>
      </c>
    </row>
    <row r="139" spans="2:13" x14ac:dyDescent="0.2">
      <c r="B139" t="s">
        <v>183</v>
      </c>
      <c r="C139">
        <v>2.5283597687393301E-4</v>
      </c>
      <c r="D139">
        <v>7.3580626996858696E-4</v>
      </c>
      <c r="F139" t="s">
        <v>125</v>
      </c>
      <c r="G139">
        <v>1.6852360308054301E-4</v>
      </c>
      <c r="K139" t="s">
        <v>168</v>
      </c>
      <c r="L139">
        <v>6.5737353987226305E-4</v>
      </c>
      <c r="M139">
        <v>6.0811593270531804E-4</v>
      </c>
    </row>
    <row r="140" spans="2:13" x14ac:dyDescent="0.2">
      <c r="B140" t="s">
        <v>184</v>
      </c>
      <c r="C140">
        <v>2.4103696461983399E-4</v>
      </c>
      <c r="D140">
        <v>4.7776708750341102E-4</v>
      </c>
      <c r="F140" t="s">
        <v>186</v>
      </c>
      <c r="G140">
        <v>4.9864485454331395E-4</v>
      </c>
      <c r="K140" t="s">
        <v>163</v>
      </c>
      <c r="L140">
        <v>6.5400239351394104E-4</v>
      </c>
      <c r="M140">
        <v>9.2577105084739599E-4</v>
      </c>
    </row>
    <row r="141" spans="2:13" x14ac:dyDescent="0.2">
      <c r="B141" t="s">
        <v>185</v>
      </c>
      <c r="C141">
        <v>2.39351391440667E-4</v>
      </c>
      <c r="D141">
        <v>3.0664463171957602E-4</v>
      </c>
      <c r="F141" t="s">
        <v>161</v>
      </c>
      <c r="G141">
        <v>2.6256555982259299E-4</v>
      </c>
      <c r="K141" t="s">
        <v>179</v>
      </c>
      <c r="L141">
        <v>6.4894567397647495E-4</v>
      </c>
      <c r="M141">
        <v>5.6952671782623302E-4</v>
      </c>
    </row>
    <row r="142" spans="2:13" x14ac:dyDescent="0.2">
      <c r="B142" t="s">
        <v>186</v>
      </c>
      <c r="C142">
        <v>1.8372747652840499E-4</v>
      </c>
      <c r="D142">
        <v>5.4391803724916903E-4</v>
      </c>
      <c r="F142" t="s">
        <v>177</v>
      </c>
      <c r="G142">
        <v>4.5298034784083601E-4</v>
      </c>
      <c r="K142" t="s">
        <v>109</v>
      </c>
      <c r="L142">
        <v>6.3040436900572104E-4</v>
      </c>
      <c r="M142">
        <v>4.7359507351015998E-4</v>
      </c>
    </row>
    <row r="143" spans="2:13" x14ac:dyDescent="0.2">
      <c r="B143" t="s">
        <v>187</v>
      </c>
      <c r="C143">
        <v>1.6518617155764E-4</v>
      </c>
      <c r="D143">
        <v>6.5662973808378999E-4</v>
      </c>
      <c r="F143" t="s">
        <v>170</v>
      </c>
      <c r="G143">
        <v>3.1173535579800499E-4</v>
      </c>
      <c r="K143" t="s">
        <v>191</v>
      </c>
      <c r="L143">
        <v>6.2703322264739904E-4</v>
      </c>
      <c r="M143">
        <v>7.5119852718988605E-4</v>
      </c>
    </row>
    <row r="144" spans="2:13" x14ac:dyDescent="0.2">
      <c r="B144" t="s">
        <v>188</v>
      </c>
      <c r="C144">
        <v>1.06191110287046E-4</v>
      </c>
      <c r="D144">
        <v>5.9168420596413397E-4</v>
      </c>
      <c r="F144" t="s">
        <v>180</v>
      </c>
      <c r="G144">
        <v>4.7251700319757202E-4</v>
      </c>
      <c r="K144" t="s">
        <v>175</v>
      </c>
      <c r="L144">
        <v>6.1186306403495597E-4</v>
      </c>
      <c r="M144">
        <v>6.89729047942735E-4</v>
      </c>
    </row>
    <row r="145" spans="2:13" x14ac:dyDescent="0.2">
      <c r="B145" t="s">
        <v>79</v>
      </c>
      <c r="C145" s="2">
        <v>8.2593085778825896E-5</v>
      </c>
      <c r="D145">
        <v>6.5100886317029003E-4</v>
      </c>
      <c r="F145" t="s">
        <v>201</v>
      </c>
      <c r="G145">
        <v>5.6234773358034896E-4</v>
      </c>
      <c r="K145" t="s">
        <v>116</v>
      </c>
      <c r="L145">
        <v>6.0680634449750105E-4</v>
      </c>
      <c r="M145">
        <v>7.7616938747011898E-4</v>
      </c>
    </row>
    <row r="146" spans="2:13" x14ac:dyDescent="0.2">
      <c r="B146" t="s">
        <v>189</v>
      </c>
      <c r="C146" s="2">
        <v>6.2366207628894403E-5</v>
      </c>
      <c r="D146">
        <v>5.2626877153461504E-4</v>
      </c>
      <c r="F146" t="s">
        <v>175</v>
      </c>
      <c r="G146">
        <v>3.2150292489785599E-4</v>
      </c>
      <c r="K146" t="s">
        <v>114</v>
      </c>
      <c r="L146">
        <v>5.6972373455597101E-4</v>
      </c>
      <c r="M146">
        <v>9.5120106981529801E-4</v>
      </c>
    </row>
    <row r="147" spans="2:13" x14ac:dyDescent="0.2">
      <c r="B147" t="s">
        <v>190</v>
      </c>
      <c r="C147" s="2">
        <v>4.8881622195651102E-5</v>
      </c>
      <c r="D147">
        <v>6.6968185146788403E-4</v>
      </c>
      <c r="F147" t="s">
        <v>181</v>
      </c>
      <c r="G147">
        <v>3.3831347507990198E-4</v>
      </c>
      <c r="K147" t="s">
        <v>193</v>
      </c>
      <c r="L147">
        <v>5.6129586866017196E-4</v>
      </c>
      <c r="M147">
        <v>6.7738444574606295E-4</v>
      </c>
    </row>
    <row r="148" spans="2:13" x14ac:dyDescent="0.2">
      <c r="B148" t="s">
        <v>136</v>
      </c>
      <c r="C148" s="2">
        <v>4.7196049016473497E-5</v>
      </c>
      <c r="D148">
        <v>3.6126359531731298E-4</v>
      </c>
      <c r="F148" t="s">
        <v>79</v>
      </c>
      <c r="G148">
        <v>2.8632922436780899E-4</v>
      </c>
      <c r="K148" t="s">
        <v>180</v>
      </c>
      <c r="L148">
        <v>5.2926997825615205E-4</v>
      </c>
      <c r="M148">
        <v>7.4066318056689696E-4</v>
      </c>
    </row>
    <row r="149" spans="2:13" x14ac:dyDescent="0.2">
      <c r="B149" t="s">
        <v>191</v>
      </c>
      <c r="C149" s="2">
        <v>3.8768183120685403E-5</v>
      </c>
      <c r="D149">
        <v>5.1303764022905503E-4</v>
      </c>
      <c r="F149" t="s">
        <v>163</v>
      </c>
      <c r="G149">
        <v>3.4934901976896299E-4</v>
      </c>
      <c r="K149" t="s">
        <v>199</v>
      </c>
      <c r="L149">
        <v>5.2421325871866405E-4</v>
      </c>
      <c r="M149">
        <v>7.3396793300045898E-4</v>
      </c>
    </row>
    <row r="150" spans="2:13" x14ac:dyDescent="0.2">
      <c r="B150" t="s">
        <v>192</v>
      </c>
      <c r="C150" s="2">
        <v>2.1912451329086899E-5</v>
      </c>
      <c r="D150">
        <v>6.6159767206965502E-4</v>
      </c>
      <c r="F150" t="s">
        <v>182</v>
      </c>
      <c r="G150">
        <v>3.5653359274483702E-4</v>
      </c>
      <c r="K150" t="s">
        <v>148</v>
      </c>
      <c r="L150">
        <v>4.2813558750657199E-4</v>
      </c>
      <c r="M150">
        <v>4.8444909749313002E-4</v>
      </c>
    </row>
    <row r="151" spans="2:13" x14ac:dyDescent="0.2">
      <c r="B151" t="s">
        <v>135</v>
      </c>
      <c r="C151" s="2">
        <v>-2.3598024508231199E-5</v>
      </c>
      <c r="D151">
        <v>6.1850200916351396E-4</v>
      </c>
      <c r="F151" t="s">
        <v>193</v>
      </c>
      <c r="G151">
        <v>2.6780994352613102E-4</v>
      </c>
      <c r="K151" t="s">
        <v>170</v>
      </c>
      <c r="L151">
        <v>4.14651002073285E-4</v>
      </c>
      <c r="M151">
        <v>5.7951368854227401E-4</v>
      </c>
    </row>
    <row r="152" spans="2:13" x14ac:dyDescent="0.2">
      <c r="B152" t="s">
        <v>193</v>
      </c>
      <c r="C152" s="2">
        <v>-5.3938341733117401E-5</v>
      </c>
      <c r="D152">
        <v>5.2652514641000295E-4</v>
      </c>
      <c r="F152" t="s">
        <v>198</v>
      </c>
      <c r="G152">
        <v>5.4056465881411405E-4</v>
      </c>
      <c r="K152" t="s">
        <v>154</v>
      </c>
      <c r="L152">
        <v>3.6239823351936698E-4</v>
      </c>
      <c r="M152">
        <v>6.5435201305539398E-4</v>
      </c>
    </row>
    <row r="153" spans="2:13" x14ac:dyDescent="0.2">
      <c r="B153" t="s">
        <v>194</v>
      </c>
      <c r="C153">
        <v>-1.2136126889947799E-4</v>
      </c>
      <c r="D153">
        <v>5.7585455948332999E-4</v>
      </c>
      <c r="F153" t="s">
        <v>138</v>
      </c>
      <c r="G153">
        <v>4.8847899099378604E-4</v>
      </c>
      <c r="K153" t="s">
        <v>186</v>
      </c>
      <c r="L153">
        <v>3.5228479444439001E-4</v>
      </c>
      <c r="M153">
        <v>9.9507224099799007E-4</v>
      </c>
    </row>
    <row r="154" spans="2:13" x14ac:dyDescent="0.2">
      <c r="B154" t="s">
        <v>195</v>
      </c>
      <c r="C154">
        <v>-1.5844387884099599E-4</v>
      </c>
      <c r="D154">
        <v>6.35405198380459E-4</v>
      </c>
      <c r="F154" t="s">
        <v>150</v>
      </c>
      <c r="G154">
        <v>3.0904422300445699E-4</v>
      </c>
      <c r="K154" t="s">
        <v>149</v>
      </c>
      <c r="L154">
        <v>2.9497530635295098E-4</v>
      </c>
      <c r="M154">
        <v>5.8803316714523901E-4</v>
      </c>
    </row>
    <row r="155" spans="2:13" x14ac:dyDescent="0.2">
      <c r="B155" t="s">
        <v>196</v>
      </c>
      <c r="C155">
        <v>-1.6855731791596201E-4</v>
      </c>
      <c r="D155">
        <v>4.9470926715587996E-4</v>
      </c>
      <c r="F155" t="s">
        <v>192</v>
      </c>
      <c r="G155">
        <v>3.0922803567937101E-4</v>
      </c>
      <c r="K155" t="s">
        <v>135</v>
      </c>
      <c r="L155">
        <v>2.93289733173796E-4</v>
      </c>
      <c r="M155">
        <v>6.7697118064293101E-4</v>
      </c>
    </row>
    <row r="156" spans="2:13" x14ac:dyDescent="0.2">
      <c r="B156" t="s">
        <v>197</v>
      </c>
      <c r="C156">
        <v>-2.2755237918654599E-4</v>
      </c>
      <c r="D156">
        <v>4.5437062978629202E-4</v>
      </c>
      <c r="F156" t="s">
        <v>191</v>
      </c>
      <c r="G156">
        <v>3.6444649250018298E-4</v>
      </c>
      <c r="K156" t="s">
        <v>194</v>
      </c>
      <c r="L156">
        <v>2.89918586815485E-4</v>
      </c>
      <c r="M156">
        <v>6.0796640825437403E-4</v>
      </c>
    </row>
    <row r="157" spans="2:13" x14ac:dyDescent="0.2">
      <c r="B157" t="s">
        <v>96</v>
      </c>
      <c r="C157">
        <v>-3.0677431860703903E-4</v>
      </c>
      <c r="D157">
        <v>4.9066105884094805E-4</v>
      </c>
      <c r="F157" t="s">
        <v>200</v>
      </c>
      <c r="G157">
        <v>8.5683505910917905E-4</v>
      </c>
      <c r="K157" t="s">
        <v>108</v>
      </c>
      <c r="L157">
        <v>2.8823301363633999E-4</v>
      </c>
      <c r="M157">
        <v>8.0764991254020401E-4</v>
      </c>
    </row>
    <row r="158" spans="2:13" x14ac:dyDescent="0.2">
      <c r="B158" t="s">
        <v>198</v>
      </c>
      <c r="C158">
        <v>-3.2363005039863702E-4</v>
      </c>
      <c r="D158">
        <v>3.2882072409787602E-4</v>
      </c>
      <c r="F158" t="s">
        <v>121</v>
      </c>
      <c r="G158">
        <v>5.8392157306332796E-4</v>
      </c>
      <c r="K158" t="s">
        <v>130</v>
      </c>
      <c r="L158">
        <v>2.15753366932447E-4</v>
      </c>
      <c r="M158">
        <v>5.6570005599534696E-4</v>
      </c>
    </row>
    <row r="159" spans="2:13" x14ac:dyDescent="0.2">
      <c r="B159" t="s">
        <v>199</v>
      </c>
      <c r="C159">
        <v>-3.5397036762348997E-4</v>
      </c>
      <c r="D159">
        <v>4.5253794581353403E-4</v>
      </c>
      <c r="F159" t="s">
        <v>142</v>
      </c>
      <c r="G159">
        <v>3.4319528289310702E-4</v>
      </c>
      <c r="K159" t="s">
        <v>167</v>
      </c>
      <c r="L159">
        <v>1.04505537107923E-4</v>
      </c>
      <c r="M159">
        <v>7.4949462039712903E-4</v>
      </c>
    </row>
    <row r="160" spans="2:13" x14ac:dyDescent="0.2">
      <c r="B160" t="s">
        <v>113</v>
      </c>
      <c r="C160">
        <v>-3.9273855074416398E-4</v>
      </c>
      <c r="D160">
        <v>1.0429885000447401E-3</v>
      </c>
      <c r="F160" t="s">
        <v>152</v>
      </c>
      <c r="G160">
        <v>5.1884176694456702E-4</v>
      </c>
      <c r="K160" t="s">
        <v>162</v>
      </c>
      <c r="L160" s="2">
        <v>4.5510475837329198E-5</v>
      </c>
      <c r="M160">
        <v>4.7615876044932598E-4</v>
      </c>
    </row>
    <row r="161" spans="2:13" x14ac:dyDescent="0.2">
      <c r="B161" t="s">
        <v>200</v>
      </c>
      <c r="C161">
        <v>-5.8826503952668003E-4</v>
      </c>
      <c r="D161">
        <v>3.2827159740765399E-4</v>
      </c>
      <c r="F161" t="s">
        <v>151</v>
      </c>
      <c r="G161">
        <v>4.6985182299721597E-4</v>
      </c>
      <c r="K161" t="s">
        <v>79</v>
      </c>
      <c r="L161" s="2">
        <v>4.2139329479029499E-5</v>
      </c>
      <c r="M161">
        <v>5.3287843885671201E-4</v>
      </c>
    </row>
    <row r="162" spans="2:13" x14ac:dyDescent="0.2">
      <c r="B162" t="s">
        <v>91</v>
      </c>
      <c r="C162">
        <v>-5.9332175906415805E-4</v>
      </c>
      <c r="D162">
        <v>4.7721669697022002E-4</v>
      </c>
      <c r="F162" t="s">
        <v>160</v>
      </c>
      <c r="G162">
        <v>2.7615121489561799E-4</v>
      </c>
      <c r="K162" t="s">
        <v>91</v>
      </c>
      <c r="L162" s="2">
        <v>-2.02268781498649E-5</v>
      </c>
      <c r="M162">
        <v>8.2764217761136405E-4</v>
      </c>
    </row>
    <row r="163" spans="2:13" x14ac:dyDescent="0.2">
      <c r="B163" t="s">
        <v>137</v>
      </c>
      <c r="C163">
        <v>-6.5231682033475196E-4</v>
      </c>
      <c r="D163">
        <v>4.9304384099216401E-4</v>
      </c>
      <c r="F163" t="s">
        <v>185</v>
      </c>
      <c r="G163">
        <v>7.6047002205784195E-4</v>
      </c>
      <c r="K163" t="s">
        <v>181</v>
      </c>
      <c r="L163">
        <v>-2.2586680600733501E-4</v>
      </c>
      <c r="M163">
        <v>4.0749058435244999E-4</v>
      </c>
    </row>
    <row r="164" spans="2:13" x14ac:dyDescent="0.2">
      <c r="B164" t="s">
        <v>148</v>
      </c>
      <c r="C164">
        <v>-7.6356465015926496E-4</v>
      </c>
      <c r="D164">
        <v>2.9009982728008801E-4</v>
      </c>
      <c r="F164" t="s">
        <v>123</v>
      </c>
      <c r="G164">
        <v>6.4955613349395702E-4</v>
      </c>
      <c r="K164" t="s">
        <v>171</v>
      </c>
      <c r="L164">
        <v>-4.0116641663993002E-4</v>
      </c>
      <c r="M164">
        <v>6.5684604636873198E-4</v>
      </c>
    </row>
    <row r="165" spans="2:13" x14ac:dyDescent="0.2">
      <c r="B165" t="s">
        <v>201</v>
      </c>
      <c r="C165">
        <v>-8.1413184553408204E-4</v>
      </c>
      <c r="D165">
        <v>5.5812837977559397E-4</v>
      </c>
      <c r="F165" t="s">
        <v>96</v>
      </c>
      <c r="G165">
        <v>7.2075747732175497E-4</v>
      </c>
      <c r="K165" t="s">
        <v>157</v>
      </c>
      <c r="L165">
        <v>-7.0962630842617001E-4</v>
      </c>
      <c r="M165">
        <v>1.3151241186554999E-3</v>
      </c>
    </row>
    <row r="166" spans="2:13" x14ac:dyDescent="0.2">
      <c r="F166" t="s">
        <v>113</v>
      </c>
      <c r="G166">
        <v>8.2397465225593795E-4</v>
      </c>
    </row>
  </sheetData>
  <conditionalFormatting sqref="B4:E81">
    <cfRule type="duplicateValues" dxfId="8" priority="6"/>
  </conditionalFormatting>
  <conditionalFormatting sqref="J3:J81">
    <cfRule type="duplicateValues" dxfId="7" priority="8"/>
  </conditionalFormatting>
  <conditionalFormatting sqref="H167:H1048576 H1:H86 G87:H166 J1:J86 J167:J1048576">
    <cfRule type="duplicateValues" dxfId="6" priority="3"/>
  </conditionalFormatting>
  <conditionalFormatting sqref="B87:F116">
    <cfRule type="duplicateValues" dxfId="5" priority="2"/>
  </conditionalFormatting>
  <conditionalFormatting sqref="I87:K11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994C-373B-D24C-86AC-802B504DB4E9}">
  <dimension ref="A2:N31"/>
  <sheetViews>
    <sheetView tabSelected="1" topLeftCell="A8" workbookViewId="0">
      <selection activeCell="B22" sqref="B22"/>
    </sheetView>
  </sheetViews>
  <sheetFormatPr baseColWidth="10" defaultRowHeight="16" x14ac:dyDescent="0.2"/>
  <sheetData>
    <row r="2" spans="1:13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">
      <c r="A3" s="4"/>
      <c r="B3" s="4" t="s">
        <v>31</v>
      </c>
      <c r="C3" s="4"/>
      <c r="D3" s="4"/>
      <c r="E3" s="4"/>
      <c r="F3" s="4" t="s">
        <v>31</v>
      </c>
      <c r="G3" s="4"/>
      <c r="H3" s="4"/>
      <c r="I3" s="4"/>
      <c r="J3" s="4" t="s">
        <v>31</v>
      </c>
      <c r="K3" s="4"/>
      <c r="L3" s="4"/>
      <c r="M3" s="4"/>
    </row>
    <row r="4" spans="1:13" x14ac:dyDescent="0.2">
      <c r="A4" s="4"/>
      <c r="B4" s="1" t="s">
        <v>32</v>
      </c>
      <c r="C4" s="4">
        <v>15.3916479056012</v>
      </c>
      <c r="D4" s="4"/>
      <c r="E4" s="4"/>
      <c r="F4" s="4" t="s">
        <v>34</v>
      </c>
      <c r="G4" s="4">
        <v>448</v>
      </c>
      <c r="H4" s="4"/>
      <c r="I4" s="4"/>
      <c r="J4" s="4" t="s">
        <v>23</v>
      </c>
      <c r="K4" s="4">
        <v>0.16493113338947199</v>
      </c>
      <c r="L4" s="4"/>
      <c r="M4" s="4"/>
    </row>
    <row r="5" spans="1:13" x14ac:dyDescent="0.2">
      <c r="A5" s="4"/>
      <c r="B5" s="3" t="s">
        <v>33</v>
      </c>
      <c r="C5" s="4">
        <v>15.2441036308206</v>
      </c>
      <c r="D5" s="4"/>
      <c r="E5" s="4"/>
      <c r="F5" s="3" t="s">
        <v>32</v>
      </c>
      <c r="G5" s="4">
        <v>447</v>
      </c>
      <c r="H5" s="4"/>
      <c r="I5" s="4"/>
      <c r="J5" s="3" t="s">
        <v>32</v>
      </c>
      <c r="K5" s="4">
        <v>0.15555378794670099</v>
      </c>
      <c r="L5" s="4"/>
      <c r="M5" s="4"/>
    </row>
    <row r="6" spans="1:13" x14ac:dyDescent="0.2">
      <c r="A6" s="4"/>
      <c r="B6" s="4" t="s">
        <v>34</v>
      </c>
      <c r="C6" s="4">
        <v>14.393798779965101</v>
      </c>
      <c r="D6" s="4"/>
      <c r="E6" s="4"/>
      <c r="F6" s="3" t="s">
        <v>33</v>
      </c>
      <c r="G6" s="4">
        <v>434</v>
      </c>
      <c r="H6" s="4"/>
      <c r="I6" s="4"/>
      <c r="J6" s="3" t="s">
        <v>33</v>
      </c>
      <c r="K6" s="4">
        <v>0.14743372797966001</v>
      </c>
      <c r="L6" s="4"/>
      <c r="M6" s="4"/>
    </row>
    <row r="7" spans="1:13" x14ac:dyDescent="0.2">
      <c r="A7" s="4"/>
      <c r="B7" s="4" t="s">
        <v>35</v>
      </c>
      <c r="C7" s="4">
        <v>14.2139449345147</v>
      </c>
      <c r="D7" s="4"/>
      <c r="E7" s="4"/>
      <c r="F7" s="4" t="s">
        <v>35</v>
      </c>
      <c r="G7" s="4">
        <v>426</v>
      </c>
      <c r="H7" s="4"/>
      <c r="I7" s="4"/>
      <c r="J7" s="3" t="s">
        <v>37</v>
      </c>
      <c r="K7" s="4">
        <v>0.14161115884780801</v>
      </c>
      <c r="L7" s="4"/>
      <c r="M7" s="4"/>
    </row>
    <row r="8" spans="1:13" x14ac:dyDescent="0.2">
      <c r="A8" s="4"/>
      <c r="B8" s="1" t="s">
        <v>36</v>
      </c>
      <c r="C8" s="4">
        <v>13.890312462693601</v>
      </c>
      <c r="D8" s="4"/>
      <c r="E8" s="4"/>
      <c r="F8" s="3" t="s">
        <v>36</v>
      </c>
      <c r="G8" s="4">
        <v>422</v>
      </c>
      <c r="H8" s="4"/>
      <c r="I8" s="4"/>
      <c r="J8" s="3" t="s">
        <v>36</v>
      </c>
      <c r="K8" s="4">
        <v>0.136847808957099</v>
      </c>
      <c r="L8" s="4"/>
      <c r="M8" s="4"/>
    </row>
    <row r="9" spans="1:13" x14ac:dyDescent="0.2">
      <c r="A9" s="4"/>
      <c r="B9" s="1" t="s">
        <v>37</v>
      </c>
      <c r="C9" s="4">
        <v>13.5857334233093</v>
      </c>
      <c r="D9" s="4"/>
      <c r="E9" s="4"/>
      <c r="F9" s="4" t="s">
        <v>38</v>
      </c>
      <c r="G9" s="4">
        <v>414</v>
      </c>
      <c r="H9" s="4"/>
      <c r="I9" s="4"/>
      <c r="J9" s="4" t="s">
        <v>40</v>
      </c>
      <c r="K9" s="4">
        <v>0.13288007676601399</v>
      </c>
      <c r="L9" s="4"/>
      <c r="M9" s="4"/>
    </row>
    <row r="10" spans="1:13" x14ac:dyDescent="0.2">
      <c r="A10" s="4"/>
      <c r="B10" s="4" t="s">
        <v>38</v>
      </c>
      <c r="C10" s="4">
        <v>13.2804588630952</v>
      </c>
      <c r="D10" s="4"/>
      <c r="E10" s="4"/>
      <c r="F10" s="3" t="s">
        <v>37</v>
      </c>
      <c r="G10" s="4">
        <v>409</v>
      </c>
      <c r="H10" s="4"/>
      <c r="I10" s="4"/>
      <c r="J10" s="4" t="s">
        <v>39</v>
      </c>
      <c r="K10" s="4">
        <v>0.120742350816726</v>
      </c>
      <c r="L10" s="4"/>
      <c r="M10" s="4"/>
    </row>
    <row r="11" spans="1:13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x14ac:dyDescent="0.2">
      <c r="A13" s="4"/>
      <c r="B13" s="3" t="s">
        <v>39</v>
      </c>
      <c r="C13" s="4">
        <v>5.2590345379383502E-3</v>
      </c>
      <c r="D13" s="4">
        <v>1.1267786881868299E-3</v>
      </c>
      <c r="E13" s="4"/>
      <c r="F13" s="3" t="s">
        <v>35</v>
      </c>
      <c r="G13" s="4">
        <v>2.3636484864648401E-3</v>
      </c>
      <c r="H13" s="4">
        <v>1.15472940296476E-3</v>
      </c>
      <c r="I13" s="4"/>
      <c r="J13" s="3" t="s">
        <v>38</v>
      </c>
      <c r="K13" s="4">
        <v>5.2356980930791204E-3</v>
      </c>
      <c r="L13" s="4">
        <v>1.4300012603516701E-3</v>
      </c>
      <c r="M13" s="4"/>
    </row>
    <row r="14" spans="1:13" x14ac:dyDescent="0.2">
      <c r="A14" s="4"/>
      <c r="B14" s="3" t="s">
        <v>35</v>
      </c>
      <c r="C14" s="4">
        <v>5.2573676490198498E-3</v>
      </c>
      <c r="D14" s="4">
        <v>1.2295088368432601E-3</v>
      </c>
      <c r="E14" s="4"/>
      <c r="F14" s="4" t="s">
        <v>39</v>
      </c>
      <c r="G14" s="4">
        <v>1.9235898119749099E-3</v>
      </c>
      <c r="H14" s="4">
        <v>1.01324911123461E-3</v>
      </c>
      <c r="I14" s="4"/>
      <c r="J14" s="1" t="s">
        <v>36</v>
      </c>
      <c r="K14" s="4">
        <v>4.9523269769302797E-3</v>
      </c>
      <c r="L14" s="4">
        <v>1.75953449691788E-3</v>
      </c>
      <c r="M14" s="4"/>
    </row>
    <row r="15" spans="1:13" x14ac:dyDescent="0.2">
      <c r="A15" s="4"/>
      <c r="B15" s="1" t="s">
        <v>37</v>
      </c>
      <c r="C15" s="4">
        <v>4.6972929723963002E-3</v>
      </c>
      <c r="D15" s="4">
        <v>1.39672560375464E-3</v>
      </c>
      <c r="E15" s="4"/>
      <c r="F15" s="1" t="s">
        <v>32</v>
      </c>
      <c r="G15" s="4">
        <v>1.9052540338711601E-3</v>
      </c>
      <c r="H15" s="4">
        <v>1.14380771020209E-3</v>
      </c>
      <c r="I15" s="4"/>
      <c r="J15" s="4" t="s">
        <v>39</v>
      </c>
      <c r="K15" s="4">
        <v>4.2989065208694803E-3</v>
      </c>
      <c r="L15" s="4">
        <v>1.0255485811918701E-3</v>
      </c>
      <c r="M15" s="4"/>
    </row>
    <row r="16" spans="1:13" x14ac:dyDescent="0.2">
      <c r="A16" s="4"/>
      <c r="B16" s="1" t="s">
        <v>32</v>
      </c>
      <c r="C16" s="4">
        <v>4.28390452060273E-3</v>
      </c>
      <c r="D16" s="4">
        <v>7.2097522298963902E-4</v>
      </c>
      <c r="E16" s="4"/>
      <c r="F16" s="1" t="s">
        <v>37</v>
      </c>
      <c r="G16" s="4">
        <v>1.2751700226696599E-3</v>
      </c>
      <c r="H16" s="4">
        <v>9.4799681969324296E-4</v>
      </c>
      <c r="I16" s="4"/>
      <c r="J16" s="3" t="s">
        <v>23</v>
      </c>
      <c r="K16" s="4">
        <v>3.8121749566609399E-3</v>
      </c>
      <c r="L16" s="4">
        <v>7.1746159946730996E-4</v>
      </c>
      <c r="M16" s="4"/>
    </row>
    <row r="17" spans="1:14" x14ac:dyDescent="0.2">
      <c r="A17" s="4"/>
      <c r="B17" s="3" t="s">
        <v>38</v>
      </c>
      <c r="C17" s="4">
        <v>2.7570342712361301E-3</v>
      </c>
      <c r="D17" s="4">
        <v>1.07016864937833E-3</v>
      </c>
      <c r="E17" s="4"/>
      <c r="F17" s="3" t="s">
        <v>38</v>
      </c>
      <c r="G17" s="4">
        <v>9.0512068275767595E-4</v>
      </c>
      <c r="H17" s="4">
        <v>6.0073020812069901E-4</v>
      </c>
      <c r="I17" s="4"/>
      <c r="J17" s="1" t="s">
        <v>32</v>
      </c>
      <c r="K17" s="4">
        <v>3.46712895052677E-3</v>
      </c>
      <c r="L17" s="4">
        <v>1.0069995891738501E-3</v>
      </c>
      <c r="M17" s="4"/>
    </row>
    <row r="18" spans="1:14" x14ac:dyDescent="0.2">
      <c r="A18" s="4"/>
      <c r="B18" s="4" t="s">
        <v>23</v>
      </c>
      <c r="C18" s="4">
        <v>2.25196692892383E-3</v>
      </c>
      <c r="D18" s="4">
        <v>1.13344646869634E-3</v>
      </c>
      <c r="E18" s="4"/>
      <c r="F18" s="1" t="s">
        <v>36</v>
      </c>
      <c r="G18" s="4">
        <v>3.3004400586742399E-4</v>
      </c>
      <c r="H18" s="4">
        <v>9.0666499803019902E-4</v>
      </c>
      <c r="I18" s="4"/>
      <c r="J18" s="1" t="s">
        <v>37</v>
      </c>
      <c r="K18" s="4">
        <v>3.3887851713562101E-3</v>
      </c>
      <c r="L18" s="4">
        <v>1.0024933816547199E-3</v>
      </c>
      <c r="M18" s="4"/>
    </row>
    <row r="19" spans="1:14" x14ac:dyDescent="0.2">
      <c r="A19" s="4"/>
      <c r="B19" s="1" t="s">
        <v>36</v>
      </c>
      <c r="C19" s="4">
        <v>1.85191358847842E-3</v>
      </c>
      <c r="D19" s="4">
        <v>1.2447419755071099E-3</v>
      </c>
      <c r="E19" s="4"/>
      <c r="F19" s="3" t="s">
        <v>23</v>
      </c>
      <c r="G19" s="4">
        <v>-1.0884784637951799E-3</v>
      </c>
      <c r="H19" s="4">
        <v>7.9060631023153904E-4</v>
      </c>
      <c r="I19" s="4"/>
      <c r="J19" s="3" t="s">
        <v>35</v>
      </c>
      <c r="K19" s="4">
        <v>2.76870249366586E-3</v>
      </c>
      <c r="L19" s="4">
        <v>7.9426688509214396E-4</v>
      </c>
      <c r="M19" s="4"/>
    </row>
    <row r="20" spans="1:14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4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4" x14ac:dyDescent="0.2">
      <c r="A22" s="4"/>
      <c r="B22" s="4" t="s">
        <v>62</v>
      </c>
      <c r="D22" t="s">
        <v>55</v>
      </c>
      <c r="E22" t="s">
        <v>56</v>
      </c>
      <c r="F22" t="s">
        <v>57</v>
      </c>
      <c r="G22">
        <v>0.52</v>
      </c>
      <c r="H22" t="s">
        <v>56</v>
      </c>
      <c r="I22" t="s">
        <v>58</v>
      </c>
      <c r="J22">
        <v>0.52370000000000005</v>
      </c>
      <c r="K22" t="s">
        <v>59</v>
      </c>
      <c r="L22">
        <v>0.66539999999999999</v>
      </c>
      <c r="M22" t="s">
        <v>60</v>
      </c>
      <c r="N22">
        <v>39974</v>
      </c>
    </row>
    <row r="23" spans="1:14" x14ac:dyDescent="0.2">
      <c r="A23" s="4"/>
      <c r="D23" t="s">
        <v>55</v>
      </c>
      <c r="E23" t="s">
        <v>56</v>
      </c>
      <c r="F23" t="s">
        <v>57</v>
      </c>
      <c r="G23">
        <v>0.5111</v>
      </c>
      <c r="H23" t="s">
        <v>56</v>
      </c>
      <c r="I23" t="s">
        <v>58</v>
      </c>
      <c r="J23">
        <v>0.52370000000000005</v>
      </c>
      <c r="K23" t="s">
        <v>59</v>
      </c>
      <c r="L23">
        <v>0.66020000000000001</v>
      </c>
      <c r="M23" t="s">
        <v>60</v>
      </c>
      <c r="N23">
        <v>39974</v>
      </c>
    </row>
    <row r="24" spans="1:14" x14ac:dyDescent="0.2">
      <c r="D24" t="s">
        <v>55</v>
      </c>
      <c r="E24" t="s">
        <v>56</v>
      </c>
      <c r="F24" t="s">
        <v>57</v>
      </c>
      <c r="G24">
        <v>0.51470000000000005</v>
      </c>
      <c r="H24" t="s">
        <v>56</v>
      </c>
      <c r="I24" t="s">
        <v>58</v>
      </c>
      <c r="J24">
        <v>0.52370000000000005</v>
      </c>
      <c r="K24" t="s">
        <v>59</v>
      </c>
      <c r="L24">
        <v>0.68169999999999997</v>
      </c>
      <c r="M24" t="s">
        <v>60</v>
      </c>
      <c r="N24">
        <v>39974</v>
      </c>
    </row>
    <row r="25" spans="1:14" x14ac:dyDescent="0.2">
      <c r="D25" t="s">
        <v>55</v>
      </c>
      <c r="E25" t="s">
        <v>56</v>
      </c>
      <c r="F25" t="s">
        <v>57</v>
      </c>
      <c r="G25">
        <v>0.51370000000000005</v>
      </c>
      <c r="H25" t="s">
        <v>56</v>
      </c>
      <c r="I25" t="s">
        <v>58</v>
      </c>
      <c r="J25">
        <v>0.52370000000000005</v>
      </c>
      <c r="K25" t="s">
        <v>59</v>
      </c>
      <c r="L25">
        <v>0.67520000000000002</v>
      </c>
      <c r="M25" t="s">
        <v>60</v>
      </c>
      <c r="N25">
        <v>39974</v>
      </c>
    </row>
    <row r="27" spans="1:14" x14ac:dyDescent="0.2">
      <c r="B27" t="s">
        <v>61</v>
      </c>
    </row>
    <row r="28" spans="1:14" x14ac:dyDescent="0.2">
      <c r="B28" s="3" t="s">
        <v>33</v>
      </c>
      <c r="C28" s="4"/>
      <c r="D28" t="s">
        <v>55</v>
      </c>
      <c r="E28" s="4" t="s">
        <v>56</v>
      </c>
      <c r="F28" s="4" t="s">
        <v>57</v>
      </c>
      <c r="G28" s="4">
        <v>0.51719999999999999</v>
      </c>
      <c r="H28" s="4" t="s">
        <v>56</v>
      </c>
      <c r="I28" s="4" t="s">
        <v>58</v>
      </c>
      <c r="J28" s="4">
        <v>0.52370000000000005</v>
      </c>
      <c r="K28" s="4" t="s">
        <v>59</v>
      </c>
      <c r="L28" s="4">
        <v>0.65100000000000002</v>
      </c>
      <c r="M28" t="s">
        <v>60</v>
      </c>
      <c r="N28">
        <v>39974</v>
      </c>
    </row>
    <row r="29" spans="1:14" x14ac:dyDescent="0.2">
      <c r="B29" s="1" t="s">
        <v>32</v>
      </c>
      <c r="C29" s="4"/>
      <c r="D29" t="s">
        <v>55</v>
      </c>
      <c r="E29" s="4" t="s">
        <v>56</v>
      </c>
      <c r="F29" s="4" t="s">
        <v>57</v>
      </c>
      <c r="G29" s="4">
        <v>0.5111</v>
      </c>
      <c r="H29" t="s">
        <v>56</v>
      </c>
      <c r="I29" t="s">
        <v>58</v>
      </c>
      <c r="J29">
        <v>0.52370000000000005</v>
      </c>
      <c r="K29" t="s">
        <v>59</v>
      </c>
      <c r="L29">
        <v>0.66020000000000001</v>
      </c>
      <c r="M29" t="s">
        <v>60</v>
      </c>
      <c r="N29">
        <v>39974</v>
      </c>
    </row>
    <row r="30" spans="1:14" x14ac:dyDescent="0.2">
      <c r="B30" s="1" t="s">
        <v>37</v>
      </c>
      <c r="D30" t="s">
        <v>55</v>
      </c>
      <c r="E30" s="4" t="s">
        <v>56</v>
      </c>
      <c r="F30" s="4" t="s">
        <v>57</v>
      </c>
      <c r="G30" s="4">
        <v>0.51139999999999997</v>
      </c>
      <c r="H30" t="s">
        <v>56</v>
      </c>
      <c r="I30" t="s">
        <v>58</v>
      </c>
      <c r="J30">
        <v>0.52370000000000005</v>
      </c>
      <c r="K30" t="s">
        <v>59</v>
      </c>
      <c r="L30">
        <v>0.67179999999999995</v>
      </c>
      <c r="M30" t="s">
        <v>60</v>
      </c>
      <c r="N30">
        <v>39974</v>
      </c>
    </row>
    <row r="31" spans="1:14" x14ac:dyDescent="0.2">
      <c r="B31" s="1" t="s">
        <v>36</v>
      </c>
      <c r="D31" t="s">
        <v>55</v>
      </c>
      <c r="E31" t="s">
        <v>56</v>
      </c>
      <c r="F31" t="s">
        <v>57</v>
      </c>
      <c r="G31">
        <v>0.51100000000000001</v>
      </c>
      <c r="H31" t="s">
        <v>56</v>
      </c>
      <c r="I31" t="s">
        <v>58</v>
      </c>
      <c r="J31">
        <v>0.52370000000000005</v>
      </c>
      <c r="K31" t="s">
        <v>59</v>
      </c>
      <c r="L31">
        <v>0.66790000000000005</v>
      </c>
      <c r="M31" t="s">
        <v>60</v>
      </c>
      <c r="N31">
        <v>39974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ED9CA-9E2C-AF43-A121-F1B5E3CDAC29}">
  <dimension ref="B3:O42"/>
  <sheetViews>
    <sheetView topLeftCell="A16" workbookViewId="0">
      <selection activeCell="B20" sqref="B20"/>
    </sheetView>
  </sheetViews>
  <sheetFormatPr baseColWidth="10" defaultRowHeight="16" x14ac:dyDescent="0.2"/>
  <sheetData>
    <row r="3" spans="2:12" x14ac:dyDescent="0.2">
      <c r="B3" t="s">
        <v>41</v>
      </c>
      <c r="C3" t="s">
        <v>42</v>
      </c>
      <c r="G3" t="s">
        <v>41</v>
      </c>
      <c r="H3" t="s">
        <v>42</v>
      </c>
      <c r="K3" t="s">
        <v>41</v>
      </c>
      <c r="L3" t="s">
        <v>42</v>
      </c>
    </row>
    <row r="4" spans="2:12" x14ac:dyDescent="0.2">
      <c r="B4" s="3" t="s">
        <v>30</v>
      </c>
      <c r="C4">
        <v>0.111545838415622</v>
      </c>
      <c r="G4" s="3" t="s">
        <v>33</v>
      </c>
      <c r="H4">
        <v>309</v>
      </c>
      <c r="K4" s="3" t="s">
        <v>30</v>
      </c>
      <c r="L4">
        <v>0.111545838415622</v>
      </c>
    </row>
    <row r="5" spans="2:12" x14ac:dyDescent="0.2">
      <c r="B5" t="s">
        <v>43</v>
      </c>
      <c r="C5">
        <v>9.8792321979999501E-2</v>
      </c>
      <c r="G5" s="3" t="s">
        <v>30</v>
      </c>
      <c r="H5">
        <v>292</v>
      </c>
      <c r="K5" t="s">
        <v>43</v>
      </c>
      <c r="L5">
        <v>9.8792321979999501E-2</v>
      </c>
    </row>
    <row r="6" spans="2:12" x14ac:dyDescent="0.2">
      <c r="B6" s="3" t="s">
        <v>33</v>
      </c>
      <c r="C6">
        <v>9.6483409404754597E-2</v>
      </c>
      <c r="G6" s="3" t="s">
        <v>45</v>
      </c>
      <c r="H6">
        <v>291</v>
      </c>
      <c r="K6" s="3" t="s">
        <v>33</v>
      </c>
      <c r="L6">
        <v>9.6483409404754597E-2</v>
      </c>
    </row>
    <row r="7" spans="2:12" x14ac:dyDescent="0.2">
      <c r="B7" s="1" t="s">
        <v>37</v>
      </c>
      <c r="C7">
        <v>9.0925805270671803E-2</v>
      </c>
      <c r="G7" s="3" t="s">
        <v>37</v>
      </c>
      <c r="H7">
        <v>288</v>
      </c>
      <c r="K7" s="3" t="s">
        <v>37</v>
      </c>
      <c r="L7">
        <v>9.0925805270671803E-2</v>
      </c>
    </row>
    <row r="8" spans="2:12" x14ac:dyDescent="0.2">
      <c r="B8" t="s">
        <v>5</v>
      </c>
      <c r="C8">
        <v>9.0597145259380299E-2</v>
      </c>
      <c r="G8" t="s">
        <v>52</v>
      </c>
      <c r="H8">
        <v>283</v>
      </c>
      <c r="K8" t="s">
        <v>5</v>
      </c>
      <c r="L8">
        <v>9.0597145259380299E-2</v>
      </c>
    </row>
    <row r="9" spans="2:12" x14ac:dyDescent="0.2">
      <c r="B9" s="3" t="s">
        <v>6</v>
      </c>
      <c r="C9">
        <v>8.8071502745151506E-2</v>
      </c>
      <c r="G9" t="s">
        <v>50</v>
      </c>
      <c r="H9">
        <v>279</v>
      </c>
      <c r="K9" s="3" t="s">
        <v>6</v>
      </c>
      <c r="L9">
        <v>8.8071502745151506E-2</v>
      </c>
    </row>
    <row r="10" spans="2:12" x14ac:dyDescent="0.2">
      <c r="B10" t="s">
        <v>44</v>
      </c>
      <c r="C10">
        <v>8.7817743420600794E-2</v>
      </c>
      <c r="G10" t="s">
        <v>53</v>
      </c>
      <c r="H10">
        <v>272</v>
      </c>
      <c r="K10" t="s">
        <v>44</v>
      </c>
      <c r="L10">
        <v>8.7817743420600794E-2</v>
      </c>
    </row>
    <row r="11" spans="2:12" x14ac:dyDescent="0.2">
      <c r="B11" s="3" t="s">
        <v>45</v>
      </c>
      <c r="C11">
        <v>8.6002126336097703E-2</v>
      </c>
      <c r="G11" s="3" t="s">
        <v>19</v>
      </c>
      <c r="H11">
        <v>260</v>
      </c>
      <c r="K11" s="3" t="s">
        <v>45</v>
      </c>
      <c r="L11">
        <v>8.6002126336097703E-2</v>
      </c>
    </row>
    <row r="12" spans="2:12" x14ac:dyDescent="0.2">
      <c r="B12" t="s">
        <v>28</v>
      </c>
      <c r="C12">
        <v>8.57990682125091E-2</v>
      </c>
      <c r="G12" t="s">
        <v>54</v>
      </c>
      <c r="H12">
        <v>258</v>
      </c>
      <c r="K12" t="s">
        <v>28</v>
      </c>
      <c r="L12">
        <v>8.57990682125091E-2</v>
      </c>
    </row>
    <row r="13" spans="2:12" x14ac:dyDescent="0.2">
      <c r="B13" s="3" t="s">
        <v>19</v>
      </c>
      <c r="C13">
        <v>8.3478070795536E-2</v>
      </c>
      <c r="G13" s="3" t="s">
        <v>6</v>
      </c>
      <c r="H13">
        <v>255</v>
      </c>
      <c r="K13" s="3" t="s">
        <v>19</v>
      </c>
      <c r="L13">
        <v>8.3478070795536E-2</v>
      </c>
    </row>
    <row r="14" spans="2:12" x14ac:dyDescent="0.2">
      <c r="B14" t="s">
        <v>23</v>
      </c>
      <c r="C14">
        <v>8.04869309067726E-2</v>
      </c>
      <c r="G14" t="s">
        <v>36</v>
      </c>
      <c r="H14">
        <v>213</v>
      </c>
      <c r="K14" t="s">
        <v>23</v>
      </c>
      <c r="L14">
        <v>8.04869309067726E-2</v>
      </c>
    </row>
    <row r="17" spans="2:15" x14ac:dyDescent="0.2">
      <c r="B17" t="s">
        <v>46</v>
      </c>
      <c r="C17" t="s">
        <v>47</v>
      </c>
      <c r="G17" t="s">
        <v>46</v>
      </c>
      <c r="H17" t="s">
        <v>47</v>
      </c>
      <c r="K17" t="s">
        <v>46</v>
      </c>
      <c r="L17" t="s">
        <v>47</v>
      </c>
    </row>
    <row r="18" spans="2:15" x14ac:dyDescent="0.2">
      <c r="B18" s="3" t="s">
        <v>48</v>
      </c>
      <c r="C18">
        <v>6.5942242408271699E-3</v>
      </c>
      <c r="D18">
        <v>1.76060428463441E-3</v>
      </c>
      <c r="G18" s="3" t="s">
        <v>23</v>
      </c>
      <c r="H18">
        <v>4.35584628977999E-3</v>
      </c>
      <c r="I18">
        <v>1.51278050549589E-3</v>
      </c>
      <c r="K18" s="3" t="s">
        <v>48</v>
      </c>
      <c r="L18">
        <v>6.5942242408271699E-3</v>
      </c>
      <c r="M18">
        <v>1.76060428463441E-3</v>
      </c>
    </row>
    <row r="19" spans="2:15" x14ac:dyDescent="0.2">
      <c r="B19" s="3" t="s">
        <v>28</v>
      </c>
      <c r="C19">
        <v>5.5075878532343803E-3</v>
      </c>
      <c r="D19">
        <v>1.5692278102964799E-3</v>
      </c>
      <c r="G19" s="3" t="s">
        <v>28</v>
      </c>
      <c r="H19">
        <v>4.0923253398644499E-3</v>
      </c>
      <c r="I19">
        <v>1.3327995269923701E-3</v>
      </c>
      <c r="K19" s="3" t="s">
        <v>28</v>
      </c>
      <c r="L19">
        <v>5.5075878532343803E-3</v>
      </c>
      <c r="M19">
        <v>1.5692278102964799E-3</v>
      </c>
    </row>
    <row r="20" spans="2:15" x14ac:dyDescent="0.2">
      <c r="B20" s="3" t="s">
        <v>49</v>
      </c>
      <c r="C20">
        <v>4.6100665002868097E-3</v>
      </c>
      <c r="D20">
        <v>1.3872555063193599E-3</v>
      </c>
      <c r="G20" s="3" t="s">
        <v>51</v>
      </c>
      <c r="H20">
        <v>3.6892932988172198E-3</v>
      </c>
      <c r="I20">
        <v>1.0526466763998901E-3</v>
      </c>
      <c r="K20" s="3" t="s">
        <v>49</v>
      </c>
      <c r="L20">
        <v>4.6100665002868097E-3</v>
      </c>
      <c r="M20">
        <v>1.3872555063193599E-3</v>
      </c>
    </row>
    <row r="21" spans="2:15" x14ac:dyDescent="0.2">
      <c r="B21" s="1" t="s">
        <v>37</v>
      </c>
      <c r="C21">
        <v>4.2984917300925903E-3</v>
      </c>
      <c r="D21">
        <v>9.0344528072705305E-4</v>
      </c>
      <c r="G21" s="3" t="s">
        <v>54</v>
      </c>
      <c r="H21">
        <v>3.1389995504641998E-3</v>
      </c>
      <c r="I21">
        <v>4.6742063472322598E-4</v>
      </c>
      <c r="K21" s="1" t="s">
        <v>37</v>
      </c>
      <c r="L21">
        <v>4.2984917300925903E-3</v>
      </c>
      <c r="M21">
        <v>9.0344528072705305E-4</v>
      </c>
    </row>
    <row r="22" spans="2:15" x14ac:dyDescent="0.2">
      <c r="B22" s="3" t="s">
        <v>45</v>
      </c>
      <c r="C22">
        <v>4.1465796530824701E-3</v>
      </c>
      <c r="D22">
        <v>1.5713578663741001E-3</v>
      </c>
      <c r="G22" s="3" t="s">
        <v>49</v>
      </c>
      <c r="H22">
        <v>2.31898435925652E-3</v>
      </c>
      <c r="I22">
        <v>7.4066698452026204E-4</v>
      </c>
      <c r="K22" s="3" t="s">
        <v>45</v>
      </c>
      <c r="L22">
        <v>4.1465796530824701E-3</v>
      </c>
      <c r="M22">
        <v>1.5713578663741001E-3</v>
      </c>
    </row>
    <row r="23" spans="2:15" x14ac:dyDescent="0.2">
      <c r="B23" s="3" t="s">
        <v>50</v>
      </c>
      <c r="C23">
        <v>3.3420656942227101E-3</v>
      </c>
      <c r="D23">
        <v>1.6139038659605E-3</v>
      </c>
      <c r="G23" s="3" t="s">
        <v>45</v>
      </c>
      <c r="H23">
        <v>2.1965246237075401E-3</v>
      </c>
      <c r="I23">
        <v>1.05328678058823E-3</v>
      </c>
      <c r="K23" s="3" t="s">
        <v>50</v>
      </c>
      <c r="L23">
        <v>3.3420656942227101E-3</v>
      </c>
      <c r="M23">
        <v>1.6139038659605E-3</v>
      </c>
    </row>
    <row r="24" spans="2:15" x14ac:dyDescent="0.2">
      <c r="B24" s="3" t="s">
        <v>51</v>
      </c>
      <c r="C24">
        <v>2.4972485312582601E-3</v>
      </c>
      <c r="D24">
        <v>1.5433101971601101E-3</v>
      </c>
      <c r="G24" s="3" t="s">
        <v>50</v>
      </c>
      <c r="H24">
        <v>1.90355133233086E-3</v>
      </c>
      <c r="I24">
        <v>1.1406168690077799E-3</v>
      </c>
      <c r="K24" s="3" t="s">
        <v>51</v>
      </c>
      <c r="L24">
        <v>2.4972485312582601E-3</v>
      </c>
      <c r="M24">
        <v>1.5433101971601101E-3</v>
      </c>
    </row>
    <row r="25" spans="2:15" x14ac:dyDescent="0.2">
      <c r="B25" s="3" t="s">
        <v>23</v>
      </c>
      <c r="C25">
        <v>2.3360357148393602E-3</v>
      </c>
      <c r="D25">
        <v>1.3215752890770799E-3</v>
      </c>
      <c r="G25" s="1" t="s">
        <v>37</v>
      </c>
      <c r="H25">
        <v>1.6136782874237999E-3</v>
      </c>
      <c r="I25">
        <v>1.1062809354357799E-3</v>
      </c>
      <c r="K25" s="3" t="s">
        <v>23</v>
      </c>
      <c r="L25">
        <v>2.3360357148393602E-3</v>
      </c>
      <c r="M25">
        <v>1.3215752890770799E-3</v>
      </c>
    </row>
    <row r="26" spans="2:15" x14ac:dyDescent="0.2">
      <c r="B26" s="3" t="s">
        <v>52</v>
      </c>
      <c r="C26">
        <v>1.9671063849576302E-3</v>
      </c>
      <c r="D26">
        <v>8.3544164617584398E-4</v>
      </c>
      <c r="G26" s="3" t="s">
        <v>53</v>
      </c>
      <c r="H26">
        <v>1.13314008463667E-3</v>
      </c>
      <c r="I26">
        <v>5.2193135021710098E-4</v>
      </c>
      <c r="K26" s="3" t="s">
        <v>52</v>
      </c>
      <c r="L26">
        <v>1.9671063849576302E-3</v>
      </c>
      <c r="M26">
        <v>8.3544164617584398E-4</v>
      </c>
    </row>
    <row r="27" spans="2:15" x14ac:dyDescent="0.2">
      <c r="B27" s="3" t="s">
        <v>53</v>
      </c>
      <c r="C27">
        <v>1.1672427958022999E-3</v>
      </c>
      <c r="D27">
        <v>7.4357619716454296E-4</v>
      </c>
      <c r="G27" s="3" t="s">
        <v>48</v>
      </c>
      <c r="H27">
        <v>6.4020089597119898E-4</v>
      </c>
      <c r="I27">
        <v>7.8904318021155804E-4</v>
      </c>
      <c r="K27" s="3" t="s">
        <v>53</v>
      </c>
      <c r="L27">
        <v>1.1672427958022999E-3</v>
      </c>
      <c r="M27">
        <v>7.4357619716454296E-4</v>
      </c>
    </row>
    <row r="28" spans="2:15" x14ac:dyDescent="0.2">
      <c r="B28" s="3" t="s">
        <v>54</v>
      </c>
      <c r="C28">
        <v>1.0323820743749601E-3</v>
      </c>
      <c r="D28">
        <v>1.3334520110413501E-3</v>
      </c>
      <c r="G28" s="3" t="s">
        <v>52</v>
      </c>
      <c r="H28" s="2">
        <v>1.5501232347503401E-6</v>
      </c>
      <c r="I28">
        <v>7.6105999342829201E-4</v>
      </c>
      <c r="K28" s="3" t="s">
        <v>54</v>
      </c>
      <c r="L28">
        <v>1.0323820743749601E-3</v>
      </c>
      <c r="M28">
        <v>1.3334520110413501E-3</v>
      </c>
    </row>
    <row r="32" spans="2:15" x14ac:dyDescent="0.2">
      <c r="B32" s="4" t="s">
        <v>62</v>
      </c>
      <c r="E32" t="s">
        <v>55</v>
      </c>
      <c r="F32" t="s">
        <v>56</v>
      </c>
      <c r="G32" t="s">
        <v>57</v>
      </c>
      <c r="H32">
        <v>0.52049999999999996</v>
      </c>
      <c r="I32" t="s">
        <v>56</v>
      </c>
      <c r="J32" t="s">
        <v>58</v>
      </c>
      <c r="K32">
        <v>0.52210000000000001</v>
      </c>
      <c r="L32" t="s">
        <v>59</v>
      </c>
      <c r="M32">
        <v>0.6643</v>
      </c>
      <c r="N32" t="s">
        <v>60</v>
      </c>
      <c r="O32">
        <v>42986</v>
      </c>
    </row>
    <row r="33" spans="2:15" x14ac:dyDescent="0.2">
      <c r="E33" t="s">
        <v>55</v>
      </c>
      <c r="F33" t="s">
        <v>56</v>
      </c>
      <c r="G33" t="s">
        <v>57</v>
      </c>
      <c r="H33">
        <v>0.51139999999999997</v>
      </c>
      <c r="I33" t="s">
        <v>56</v>
      </c>
      <c r="J33" t="s">
        <v>58</v>
      </c>
      <c r="K33">
        <v>0.52210000000000001</v>
      </c>
      <c r="L33" t="s">
        <v>59</v>
      </c>
      <c r="M33">
        <v>0.6573</v>
      </c>
      <c r="N33" t="s">
        <v>60</v>
      </c>
      <c r="O33">
        <v>42986</v>
      </c>
    </row>
    <row r="34" spans="2:15" x14ac:dyDescent="0.2">
      <c r="E34" t="s">
        <v>55</v>
      </c>
      <c r="F34" t="s">
        <v>56</v>
      </c>
      <c r="G34" t="s">
        <v>57</v>
      </c>
      <c r="H34">
        <v>0.51780000000000004</v>
      </c>
      <c r="I34" t="s">
        <v>56</v>
      </c>
      <c r="J34" t="s">
        <v>58</v>
      </c>
      <c r="K34">
        <v>0.52210000000000001</v>
      </c>
      <c r="L34" t="s">
        <v>59</v>
      </c>
      <c r="M34">
        <v>0.67490000000000006</v>
      </c>
      <c r="N34" t="s">
        <v>60</v>
      </c>
      <c r="O34">
        <v>42986</v>
      </c>
    </row>
    <row r="35" spans="2:15" x14ac:dyDescent="0.2">
      <c r="E35" t="s">
        <v>55</v>
      </c>
      <c r="F35" t="s">
        <v>56</v>
      </c>
      <c r="G35" t="s">
        <v>57</v>
      </c>
      <c r="H35">
        <v>0.51529999999999998</v>
      </c>
      <c r="I35" t="s">
        <v>56</v>
      </c>
      <c r="J35" t="s">
        <v>58</v>
      </c>
      <c r="K35">
        <v>0.52210000000000001</v>
      </c>
      <c r="L35" t="s">
        <v>59</v>
      </c>
      <c r="M35">
        <v>0.66969999999999996</v>
      </c>
      <c r="N35" t="s">
        <v>60</v>
      </c>
      <c r="O35">
        <v>42986</v>
      </c>
    </row>
    <row r="37" spans="2:15" x14ac:dyDescent="0.2">
      <c r="B37" s="1" t="s">
        <v>37</v>
      </c>
      <c r="E37" t="s">
        <v>55</v>
      </c>
      <c r="F37" t="s">
        <v>56</v>
      </c>
      <c r="G37" t="s">
        <v>57</v>
      </c>
      <c r="H37">
        <v>0.51919999999999999</v>
      </c>
      <c r="I37" t="s">
        <v>56</v>
      </c>
      <c r="J37" t="s">
        <v>58</v>
      </c>
      <c r="K37">
        <v>0.52210000000000001</v>
      </c>
      <c r="L37" t="s">
        <v>59</v>
      </c>
      <c r="M37">
        <v>0.66279999999999994</v>
      </c>
      <c r="N37" t="s">
        <v>60</v>
      </c>
      <c r="O37">
        <v>42986</v>
      </c>
    </row>
    <row r="38" spans="2:15" x14ac:dyDescent="0.2">
      <c r="B38" s="3" t="s">
        <v>30</v>
      </c>
      <c r="E38" t="s">
        <v>55</v>
      </c>
      <c r="F38" t="s">
        <v>56</v>
      </c>
      <c r="G38" t="s">
        <v>57</v>
      </c>
      <c r="H38">
        <v>0.51139999999999997</v>
      </c>
      <c r="I38" t="s">
        <v>56</v>
      </c>
      <c r="J38" t="s">
        <v>58</v>
      </c>
      <c r="K38">
        <v>0.52210000000000001</v>
      </c>
      <c r="L38" t="s">
        <v>59</v>
      </c>
      <c r="M38">
        <v>0.6573</v>
      </c>
      <c r="N38" t="s">
        <v>60</v>
      </c>
      <c r="O38">
        <v>42986</v>
      </c>
    </row>
    <row r="39" spans="2:15" x14ac:dyDescent="0.2">
      <c r="B39" s="3" t="s">
        <v>33</v>
      </c>
      <c r="E39" t="s">
        <v>55</v>
      </c>
      <c r="F39" t="s">
        <v>56</v>
      </c>
      <c r="G39" t="s">
        <v>57</v>
      </c>
      <c r="H39">
        <v>0.51490000000000002</v>
      </c>
      <c r="I39" t="s">
        <v>56</v>
      </c>
      <c r="J39" t="s">
        <v>58</v>
      </c>
      <c r="K39">
        <v>0.52210000000000001</v>
      </c>
      <c r="L39" t="s">
        <v>59</v>
      </c>
      <c r="M39">
        <v>0.67110000000000003</v>
      </c>
      <c r="N39" t="s">
        <v>60</v>
      </c>
      <c r="O39">
        <v>42986</v>
      </c>
    </row>
    <row r="40" spans="2:15" x14ac:dyDescent="0.2">
      <c r="B40" s="3" t="s">
        <v>6</v>
      </c>
      <c r="E40" t="s">
        <v>55</v>
      </c>
      <c r="F40" t="s">
        <v>56</v>
      </c>
      <c r="G40" t="s">
        <v>57</v>
      </c>
      <c r="H40">
        <v>0.51280000000000003</v>
      </c>
      <c r="I40" t="s">
        <v>56</v>
      </c>
      <c r="J40" t="s">
        <v>58</v>
      </c>
      <c r="K40">
        <v>0.52210000000000001</v>
      </c>
      <c r="L40" t="s">
        <v>59</v>
      </c>
      <c r="M40">
        <v>0.6663</v>
      </c>
      <c r="N40" t="s">
        <v>60</v>
      </c>
      <c r="O40">
        <v>42986</v>
      </c>
    </row>
    <row r="41" spans="2:15" x14ac:dyDescent="0.2">
      <c r="B41" s="3" t="s">
        <v>45</v>
      </c>
    </row>
    <row r="42" spans="2:15" x14ac:dyDescent="0.2">
      <c r="B42" s="3" t="s">
        <v>19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IND_F</vt:lpstr>
      <vt:lpstr>Refried</vt:lpstr>
      <vt:lpstr>LUCKY_F</vt:lpstr>
      <vt:lpstr>IND_LSTM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Reese</dc:creator>
  <cp:lastModifiedBy>Dean Reese</cp:lastModifiedBy>
  <dcterms:created xsi:type="dcterms:W3CDTF">2024-06-26T05:23:33Z</dcterms:created>
  <dcterms:modified xsi:type="dcterms:W3CDTF">2024-06-26T17:16:08Z</dcterms:modified>
</cp:coreProperties>
</file>