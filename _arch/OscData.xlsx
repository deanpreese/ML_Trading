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ocuments/source/ML_Trading/"/>
    </mc:Choice>
  </mc:AlternateContent>
  <xr:revisionPtr revIDLastSave="0" documentId="13_ncr:1_{BAEBC072-9897-3145-80B0-0FD4D302A827}" xr6:coauthVersionLast="47" xr6:coauthVersionMax="47" xr10:uidLastSave="{00000000-0000-0000-0000-000000000000}"/>
  <bookViews>
    <workbookView xWindow="8580" yWindow="740" windowWidth="28500" windowHeight="17220" activeTab="2" xr2:uid="{42E39AEE-942A-C34C-A91C-DBF96B033182}"/>
  </bookViews>
  <sheets>
    <sheet name="Sheet1" sheetId="1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5" i="1" l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X35" i="1"/>
  <c r="X34" i="1"/>
  <c r="X33" i="1"/>
  <c r="C33" i="1" s="1"/>
  <c r="X32" i="1"/>
  <c r="C32" i="1" s="1"/>
  <c r="X31" i="1"/>
  <c r="C31" i="1" s="1"/>
  <c r="X30" i="1"/>
  <c r="C30" i="1" s="1"/>
  <c r="X29" i="1"/>
  <c r="X28" i="1"/>
  <c r="X27" i="1"/>
  <c r="X26" i="1"/>
  <c r="X25" i="1"/>
  <c r="C25" i="1" s="1"/>
  <c r="X24" i="1"/>
  <c r="C24" i="1" s="1"/>
  <c r="X23" i="1"/>
  <c r="C23" i="1" s="1"/>
  <c r="X22" i="1"/>
  <c r="C22" i="1" s="1"/>
  <c r="X21" i="1"/>
  <c r="X20" i="1"/>
  <c r="C20" i="1" s="1"/>
  <c r="X19" i="1"/>
  <c r="C19" i="1" s="1"/>
  <c r="X18" i="1"/>
  <c r="C18" i="1" s="1"/>
  <c r="X17" i="1"/>
  <c r="C17" i="1" s="1"/>
  <c r="X16" i="1"/>
  <c r="C16" i="1" s="1"/>
  <c r="X15" i="1"/>
  <c r="C15" i="1" s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E35" i="1"/>
  <c r="T35" i="1" s="1"/>
  <c r="E34" i="1"/>
  <c r="Y34" i="1" s="1"/>
  <c r="E33" i="1"/>
  <c r="AD33" i="1" s="1"/>
  <c r="E32" i="1"/>
  <c r="AI32" i="1" s="1"/>
  <c r="E31" i="1"/>
  <c r="T31" i="1" s="1"/>
  <c r="E30" i="1"/>
  <c r="Y30" i="1" s="1"/>
  <c r="E29" i="1"/>
  <c r="AD29" i="1" s="1"/>
  <c r="E28" i="1"/>
  <c r="AI28" i="1" s="1"/>
  <c r="E27" i="1"/>
  <c r="T27" i="1" s="1"/>
  <c r="E26" i="1"/>
  <c r="Y26" i="1" s="1"/>
  <c r="E25" i="1"/>
  <c r="AD25" i="1" s="1"/>
  <c r="E24" i="1"/>
  <c r="AI24" i="1" s="1"/>
  <c r="E23" i="1"/>
  <c r="T23" i="1" s="1"/>
  <c r="E22" i="1"/>
  <c r="Y22" i="1" s="1"/>
  <c r="E21" i="1"/>
  <c r="AD21" i="1" s="1"/>
  <c r="E20" i="1"/>
  <c r="AI20" i="1" s="1"/>
  <c r="E19" i="1"/>
  <c r="T19" i="1" s="1"/>
  <c r="E18" i="1"/>
  <c r="Y18" i="1" s="1"/>
  <c r="E17" i="1"/>
  <c r="AD17" i="1" s="1"/>
  <c r="E16" i="1"/>
  <c r="AI16" i="1" s="1"/>
  <c r="E15" i="1"/>
  <c r="T15" i="1" s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  <c r="E2" i="1"/>
  <c r="O2" i="1" s="1"/>
  <c r="E14" i="1"/>
  <c r="J14" i="1" s="1"/>
  <c r="E13" i="1"/>
  <c r="Y13" i="1" s="1"/>
  <c r="E12" i="1"/>
  <c r="J12" i="1" s="1"/>
  <c r="E11" i="1"/>
  <c r="O11" i="1" s="1"/>
  <c r="E10" i="1"/>
  <c r="AD10" i="1" s="1"/>
  <c r="E9" i="1"/>
  <c r="O9" i="1" s="1"/>
  <c r="E8" i="1"/>
  <c r="AD8" i="1" s="1"/>
  <c r="E7" i="1"/>
  <c r="AI7" i="1" s="1"/>
  <c r="E6" i="1"/>
  <c r="Y6" i="1" s="1"/>
  <c r="E5" i="1"/>
  <c r="O5" i="1" s="1"/>
  <c r="E4" i="1"/>
  <c r="O4" i="1" s="1"/>
  <c r="E3" i="1"/>
  <c r="O3" i="1" s="1"/>
  <c r="AH5" i="1"/>
  <c r="AH4" i="1"/>
  <c r="AH3" i="1"/>
  <c r="AH2" i="1"/>
  <c r="AH9" i="1"/>
  <c r="AH8" i="1"/>
  <c r="AH7" i="1"/>
  <c r="AH6" i="1"/>
  <c r="AH14" i="1"/>
  <c r="AH13" i="1"/>
  <c r="AH12" i="1"/>
  <c r="AH11" i="1"/>
  <c r="AH10" i="1"/>
  <c r="AC14" i="1"/>
  <c r="AC13" i="1"/>
  <c r="AC12" i="1"/>
  <c r="AC11" i="1"/>
  <c r="AC10" i="1"/>
  <c r="X14" i="1"/>
  <c r="C14" i="1" s="1"/>
  <c r="X13" i="1"/>
  <c r="X12" i="1"/>
  <c r="C12" i="1" s="1"/>
  <c r="X11" i="1"/>
  <c r="C11" i="1" s="1"/>
  <c r="X10" i="1"/>
  <c r="C10" i="1" s="1"/>
  <c r="S14" i="1"/>
  <c r="S13" i="1"/>
  <c r="S12" i="1"/>
  <c r="S11" i="1"/>
  <c r="S10" i="1"/>
  <c r="N14" i="1"/>
  <c r="N13" i="1"/>
  <c r="N12" i="1"/>
  <c r="N11" i="1"/>
  <c r="N10" i="1"/>
  <c r="I14" i="1"/>
  <c r="I13" i="1"/>
  <c r="I12" i="1"/>
  <c r="I11" i="1"/>
  <c r="I10" i="1"/>
  <c r="AC5" i="1"/>
  <c r="AC4" i="1"/>
  <c r="AC3" i="1"/>
  <c r="AC2" i="1"/>
  <c r="AC9" i="1"/>
  <c r="AC8" i="1"/>
  <c r="AC7" i="1"/>
  <c r="AC6" i="1"/>
  <c r="X9" i="1"/>
  <c r="C9" i="1" s="1"/>
  <c r="X8" i="1"/>
  <c r="C8" i="1" s="1"/>
  <c r="X7" i="1"/>
  <c r="C7" i="1" s="1"/>
  <c r="X6" i="1"/>
  <c r="C6" i="1" s="1"/>
  <c r="X5" i="1"/>
  <c r="X4" i="1"/>
  <c r="X3" i="1"/>
  <c r="X2" i="1"/>
  <c r="C2" i="1" s="1"/>
  <c r="I6" i="1"/>
  <c r="I7" i="1"/>
  <c r="I8" i="1"/>
  <c r="I9" i="1"/>
  <c r="N9" i="1"/>
  <c r="N8" i="1"/>
  <c r="N7" i="1"/>
  <c r="N6" i="1"/>
  <c r="S9" i="1"/>
  <c r="S8" i="1"/>
  <c r="S7" i="1"/>
  <c r="S6" i="1"/>
  <c r="S5" i="1"/>
  <c r="S4" i="1"/>
  <c r="S3" i="1"/>
  <c r="S2" i="1"/>
  <c r="N5" i="1"/>
  <c r="N4" i="1"/>
  <c r="N3" i="1"/>
  <c r="N2" i="1"/>
  <c r="I5" i="1"/>
  <c r="I4" i="1"/>
  <c r="I3" i="1"/>
  <c r="I2" i="1"/>
  <c r="C28" i="1" l="1"/>
  <c r="C26" i="1"/>
  <c r="C34" i="1"/>
  <c r="C5" i="1"/>
  <c r="C27" i="1"/>
  <c r="C35" i="1"/>
  <c r="C3" i="1"/>
  <c r="C4" i="1"/>
  <c r="C13" i="1"/>
  <c r="C21" i="1"/>
  <c r="C29" i="1"/>
  <c r="J28" i="1"/>
  <c r="AR31" i="1"/>
  <c r="O29" i="1"/>
  <c r="AR23" i="1"/>
  <c r="J23" i="1"/>
  <c r="AD31" i="1"/>
  <c r="AR15" i="1"/>
  <c r="Y23" i="1"/>
  <c r="T28" i="1"/>
  <c r="AR29" i="1"/>
  <c r="O21" i="1"/>
  <c r="T20" i="1"/>
  <c r="Y28" i="1"/>
  <c r="O17" i="1"/>
  <c r="T25" i="1"/>
  <c r="J16" i="1"/>
  <c r="J22" i="1"/>
  <c r="J32" i="1"/>
  <c r="T32" i="1"/>
  <c r="Y16" i="1"/>
  <c r="Y32" i="1"/>
  <c r="AD23" i="1"/>
  <c r="AD30" i="1"/>
  <c r="AI22" i="1"/>
  <c r="AR30" i="1"/>
  <c r="O30" i="1"/>
  <c r="Y17" i="1"/>
  <c r="Y33" i="1"/>
  <c r="AI17" i="1"/>
  <c r="AR16" i="1"/>
  <c r="O25" i="1"/>
  <c r="T16" i="1"/>
  <c r="AI30" i="1"/>
  <c r="AR17" i="1"/>
  <c r="J24" i="1"/>
  <c r="AI25" i="1"/>
  <c r="J20" i="1"/>
  <c r="O33" i="1"/>
  <c r="T24" i="1"/>
  <c r="AR19" i="1"/>
  <c r="AR27" i="1"/>
  <c r="T33" i="1"/>
  <c r="AR25" i="1"/>
  <c r="J30" i="1"/>
  <c r="T17" i="1"/>
  <c r="Y24" i="1"/>
  <c r="J15" i="1"/>
  <c r="J31" i="1"/>
  <c r="O22" i="1"/>
  <c r="Y15" i="1"/>
  <c r="Y20" i="1"/>
  <c r="Y25" i="1"/>
  <c r="Y31" i="1"/>
  <c r="AD15" i="1"/>
  <c r="AD22" i="1"/>
  <c r="AI33" i="1"/>
  <c r="J34" i="1"/>
  <c r="Y19" i="1"/>
  <c r="Y27" i="1"/>
  <c r="Y35" i="1"/>
  <c r="AD18" i="1"/>
  <c r="AD26" i="1"/>
  <c r="AD34" i="1"/>
  <c r="AI21" i="1"/>
  <c r="AI29" i="1"/>
  <c r="AR18" i="1"/>
  <c r="AR24" i="1"/>
  <c r="J18" i="1"/>
  <c r="O18" i="1"/>
  <c r="AD27" i="1"/>
  <c r="AD35" i="1"/>
  <c r="AI18" i="1"/>
  <c r="J35" i="1"/>
  <c r="O34" i="1"/>
  <c r="AD19" i="1"/>
  <c r="AI34" i="1"/>
  <c r="AR26" i="1"/>
  <c r="AR32" i="1"/>
  <c r="J27" i="1"/>
  <c r="O26" i="1"/>
  <c r="T21" i="1"/>
  <c r="O15" i="1"/>
  <c r="O19" i="1"/>
  <c r="O23" i="1"/>
  <c r="O27" i="1"/>
  <c r="O31" i="1"/>
  <c r="O35" i="1"/>
  <c r="T18" i="1"/>
  <c r="T22" i="1"/>
  <c r="T26" i="1"/>
  <c r="T30" i="1"/>
  <c r="T34" i="1"/>
  <c r="Y21" i="1"/>
  <c r="Y29" i="1"/>
  <c r="AD16" i="1"/>
  <c r="AD20" i="1"/>
  <c r="AD24" i="1"/>
  <c r="AD28" i="1"/>
  <c r="AD32" i="1"/>
  <c r="AI15" i="1"/>
  <c r="AI19" i="1"/>
  <c r="AI23" i="1"/>
  <c r="AI27" i="1"/>
  <c r="AI31" i="1"/>
  <c r="AI35" i="1"/>
  <c r="AR20" i="1"/>
  <c r="AR33" i="1"/>
  <c r="J26" i="1"/>
  <c r="AI26" i="1"/>
  <c r="AR21" i="1"/>
  <c r="AR34" i="1"/>
  <c r="J19" i="1"/>
  <c r="T29" i="1"/>
  <c r="J17" i="1"/>
  <c r="J21" i="1"/>
  <c r="J25" i="1"/>
  <c r="J29" i="1"/>
  <c r="J33" i="1"/>
  <c r="O16" i="1"/>
  <c r="O20" i="1"/>
  <c r="O24" i="1"/>
  <c r="O28" i="1"/>
  <c r="O32" i="1"/>
  <c r="AR22" i="1"/>
  <c r="AR28" i="1"/>
  <c r="AR35" i="1"/>
  <c r="J9" i="1"/>
  <c r="AI4" i="1"/>
  <c r="AI12" i="1"/>
  <c r="AI5" i="1"/>
  <c r="AI13" i="1"/>
  <c r="AR11" i="1"/>
  <c r="AR9" i="1"/>
  <c r="T13" i="1"/>
  <c r="T14" i="1"/>
  <c r="O6" i="1"/>
  <c r="AI14" i="1"/>
  <c r="AD14" i="1"/>
  <c r="AR4" i="1"/>
  <c r="O12" i="1"/>
  <c r="T6" i="1"/>
  <c r="Y9" i="1"/>
  <c r="AD6" i="1"/>
  <c r="AI6" i="1"/>
  <c r="AI11" i="1"/>
  <c r="O13" i="1"/>
  <c r="AR2" i="1"/>
  <c r="J6" i="1"/>
  <c r="Y8" i="1"/>
  <c r="AR14" i="1"/>
  <c r="T12" i="1"/>
  <c r="AI8" i="1"/>
  <c r="J10" i="1"/>
  <c r="O8" i="1"/>
  <c r="AR5" i="1"/>
  <c r="T9" i="1"/>
  <c r="AI9" i="1"/>
  <c r="AR12" i="1"/>
  <c r="Y12" i="1"/>
  <c r="J11" i="1"/>
  <c r="AD9" i="1"/>
  <c r="AR6" i="1"/>
  <c r="AR13" i="1"/>
  <c r="Y14" i="1"/>
  <c r="J13" i="1"/>
  <c r="O10" i="1"/>
  <c r="AD11" i="1"/>
  <c r="J7" i="1"/>
  <c r="T7" i="1"/>
  <c r="AD7" i="1"/>
  <c r="AR7" i="1"/>
  <c r="AD12" i="1"/>
  <c r="T10" i="1"/>
  <c r="J8" i="1"/>
  <c r="T8" i="1"/>
  <c r="AR8" i="1"/>
  <c r="AI10" i="1"/>
  <c r="AD13" i="1"/>
  <c r="T11" i="1"/>
  <c r="O14" i="1"/>
  <c r="AI2" i="1"/>
  <c r="AR10" i="1"/>
  <c r="Y10" i="1"/>
  <c r="AI3" i="1"/>
  <c r="AR3" i="1"/>
  <c r="O7" i="1"/>
  <c r="Y7" i="1"/>
  <c r="Y11" i="1"/>
  <c r="T2" i="1"/>
  <c r="T3" i="1"/>
  <c r="Y2" i="1"/>
  <c r="AD2" i="1"/>
  <c r="AD3" i="1"/>
  <c r="AD4" i="1"/>
  <c r="AD5" i="1"/>
  <c r="J4" i="1"/>
  <c r="Y3" i="1"/>
  <c r="Y4" i="1"/>
  <c r="Y5" i="1"/>
  <c r="J3" i="1"/>
  <c r="T4" i="1"/>
  <c r="T5" i="1"/>
  <c r="J2" i="1"/>
  <c r="J5" i="1"/>
</calcChain>
</file>

<file path=xl/sharedStrings.xml><?xml version="1.0" encoding="utf-8"?>
<sst xmlns="http://schemas.openxmlformats.org/spreadsheetml/2006/main" count="561" uniqueCount="137">
  <si>
    <t>RSI7</t>
  </si>
  <si>
    <t>RSI9</t>
  </si>
  <si>
    <t>RSI14</t>
  </si>
  <si>
    <t>RSI5</t>
  </si>
  <si>
    <t>S773D</t>
  </si>
  <si>
    <t>S773K</t>
  </si>
  <si>
    <t>S7143K</t>
  </si>
  <si>
    <t>S7143D</t>
  </si>
  <si>
    <t>Osc</t>
  </si>
  <si>
    <t>U90</t>
  </si>
  <si>
    <t>D90</t>
  </si>
  <si>
    <t>U8090</t>
  </si>
  <si>
    <t>D8090</t>
  </si>
  <si>
    <t>U7080</t>
  </si>
  <si>
    <t>D7080</t>
  </si>
  <si>
    <t>U2030</t>
  </si>
  <si>
    <t>D2030</t>
  </si>
  <si>
    <t>U1020</t>
  </si>
  <si>
    <t>D1020</t>
  </si>
  <si>
    <t>U10</t>
  </si>
  <si>
    <t>D10</t>
  </si>
  <si>
    <t>N90</t>
  </si>
  <si>
    <t>N8090</t>
  </si>
  <si>
    <t>N7080</t>
  </si>
  <si>
    <t>N2030</t>
  </si>
  <si>
    <t>N1020</t>
  </si>
  <si>
    <t>N10</t>
  </si>
  <si>
    <t>Total</t>
  </si>
  <si>
    <t>RSI2</t>
  </si>
  <si>
    <t>RSI3</t>
  </si>
  <si>
    <t>RSICOMP</t>
  </si>
  <si>
    <t>COMP2</t>
  </si>
  <si>
    <t>COMP3</t>
  </si>
  <si>
    <t>PctDown</t>
  </si>
  <si>
    <t>PctUp</t>
  </si>
  <si>
    <t>PctTotal</t>
  </si>
  <si>
    <t>S7143K2</t>
  </si>
  <si>
    <t>S7143D2</t>
  </si>
  <si>
    <t>S773K2</t>
  </si>
  <si>
    <t>S773D2</t>
  </si>
  <si>
    <t>RSI32</t>
  </si>
  <si>
    <t>RSI52</t>
  </si>
  <si>
    <t>RSI72</t>
  </si>
  <si>
    <t>RSI92</t>
  </si>
  <si>
    <t>RSI142</t>
  </si>
  <si>
    <t>S773D3</t>
  </si>
  <si>
    <t>S773K3</t>
  </si>
  <si>
    <t>RSI143</t>
  </si>
  <si>
    <t>RSI93</t>
  </si>
  <si>
    <t>RSI73</t>
  </si>
  <si>
    <t>RSI53</t>
  </si>
  <si>
    <t>COMP12</t>
  </si>
  <si>
    <t>COMP22</t>
  </si>
  <si>
    <t>COMP32</t>
  </si>
  <si>
    <t>COMP33</t>
  </si>
  <si>
    <t>COMP23</t>
  </si>
  <si>
    <t>COMP13</t>
  </si>
  <si>
    <t>TriggerBuy</t>
  </si>
  <si>
    <t>TriggerSell</t>
  </si>
  <si>
    <t>Feature</t>
  </si>
  <si>
    <t>Importance</t>
  </si>
  <si>
    <t>RSI</t>
  </si>
  <si>
    <t>ATR2</t>
  </si>
  <si>
    <t>STOK1</t>
  </si>
  <si>
    <t>SDLR310</t>
  </si>
  <si>
    <t>TV23</t>
  </si>
  <si>
    <t>TV13</t>
  </si>
  <si>
    <t>ATR21</t>
  </si>
  <si>
    <t>TV21</t>
  </si>
  <si>
    <t>SDBB91</t>
  </si>
  <si>
    <t>TV11</t>
  </si>
  <si>
    <t>TV33</t>
  </si>
  <si>
    <t>ROC</t>
  </si>
  <si>
    <t>TV12</t>
  </si>
  <si>
    <t>TV22</t>
  </si>
  <si>
    <t>ATR54</t>
  </si>
  <si>
    <t>HourOfDay</t>
  </si>
  <si>
    <t>TV32</t>
  </si>
  <si>
    <t>MinOfHour</t>
  </si>
  <si>
    <t>ATR52</t>
  </si>
  <si>
    <t>TV31</t>
  </si>
  <si>
    <t>ATR53</t>
  </si>
  <si>
    <t>SDKC9</t>
  </si>
  <si>
    <t>ATR51</t>
  </si>
  <si>
    <t>ATR5</t>
  </si>
  <si>
    <t>SDKC91</t>
  </si>
  <si>
    <t>DayOfWeek</t>
  </si>
  <si>
    <t>Classifier</t>
  </si>
  <si>
    <t>Sorted</t>
  </si>
  <si>
    <t>Regressor</t>
  </si>
  <si>
    <t>LGBCls_PI_Mean</t>
  </si>
  <si>
    <t>LGBCls_PI_Std</t>
  </si>
  <si>
    <t>LGBCls_Std_Imp</t>
  </si>
  <si>
    <t>XGBCls_PI_Mean</t>
  </si>
  <si>
    <t>XGBCls_PI_Std</t>
  </si>
  <si>
    <t>XGBCls_Std_Imp</t>
  </si>
  <si>
    <t>CatCls_PI_Mean</t>
  </si>
  <si>
    <t>CatCls_PI_Std</t>
  </si>
  <si>
    <t>CatCls_Std_Imp</t>
  </si>
  <si>
    <t>Comp_PI_Mean</t>
  </si>
  <si>
    <t>Comp_Std_Imp</t>
  </si>
  <si>
    <t>LGBReg_PI_Mean</t>
  </si>
  <si>
    <t>LGBReg_PI_Std</t>
  </si>
  <si>
    <t>LGBReg_Std_Imp</t>
  </si>
  <si>
    <t>XGBReg_PI_Mean</t>
  </si>
  <si>
    <t>XGBReg_PI_Std</t>
  </si>
  <si>
    <t>XGBReg_Std_Imp</t>
  </si>
  <si>
    <t>CatReg_PI_Mean</t>
  </si>
  <si>
    <t>CatReg_PI_Std</t>
  </si>
  <si>
    <t>CatReg_Std_Imp</t>
  </si>
  <si>
    <t>XGBRegressorV2</t>
  </si>
  <si>
    <t>CatBoostClassifierV2</t>
  </si>
  <si>
    <t>CatBoostRegressorV2</t>
  </si>
  <si>
    <t>Lucky 13</t>
  </si>
  <si>
    <t>LGBMRegressorV2</t>
  </si>
  <si>
    <t>XGBRFRegressorV2</t>
  </si>
  <si>
    <t>XGBRFClassifierV2</t>
  </si>
  <si>
    <t>XGBClassifierV2</t>
  </si>
  <si>
    <t>LGBMClassifierV2</t>
  </si>
  <si>
    <t>L_13x</t>
  </si>
  <si>
    <t>STOK7143</t>
  </si>
  <si>
    <t>STOK773</t>
  </si>
  <si>
    <t>COMP1</t>
  </si>
  <si>
    <t>TV41</t>
  </si>
  <si>
    <t>TV43</t>
  </si>
  <si>
    <t>TV42</t>
  </si>
  <si>
    <t>COMP0</t>
  </si>
  <si>
    <t>AC5</t>
  </si>
  <si>
    <t>AC4</t>
  </si>
  <si>
    <t>AC3</t>
  </si>
  <si>
    <t>AC</t>
  </si>
  <si>
    <t>AC2</t>
  </si>
  <si>
    <t>f_plus</t>
  </si>
  <si>
    <t>L_13_Plus</t>
  </si>
  <si>
    <t>plus_m1</t>
  </si>
  <si>
    <t>Model z</t>
  </si>
  <si>
    <t>Model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</si>
</sst>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F318-C3F1-9A4F-A1B7-C511DAF2CD03}">
  <dimension ref="A1:AR35"/>
  <sheetViews>
    <sheetView workbookViewId="0">
      <selection activeCell="C6" sqref="C6"/>
    </sheetView>
  </sheetViews>
  <sheetFormatPr baseColWidth="10" defaultRowHeight="16" x14ac:dyDescent="0.2"/>
  <cols>
    <col min="6" max="6" width="2.83203125" customWidth="1"/>
  </cols>
  <sheetData>
    <row r="1" spans="1:44" x14ac:dyDescent="0.2">
      <c r="A1" t="s">
        <v>8</v>
      </c>
      <c r="B1" t="s">
        <v>58</v>
      </c>
      <c r="C1" t="s">
        <v>57</v>
      </c>
      <c r="E1" t="s">
        <v>27</v>
      </c>
      <c r="G1" t="s">
        <v>9</v>
      </c>
      <c r="H1" t="s">
        <v>10</v>
      </c>
      <c r="I1" t="s">
        <v>33</v>
      </c>
      <c r="J1" t="s">
        <v>35</v>
      </c>
      <c r="L1" t="s">
        <v>11</v>
      </c>
      <c r="M1" t="s">
        <v>12</v>
      </c>
      <c r="N1" t="s">
        <v>33</v>
      </c>
      <c r="O1" t="s">
        <v>35</v>
      </c>
      <c r="Q1" t="s">
        <v>13</v>
      </c>
      <c r="R1" t="s">
        <v>14</v>
      </c>
      <c r="S1" t="s">
        <v>33</v>
      </c>
      <c r="T1" t="s">
        <v>35</v>
      </c>
      <c r="V1" t="s">
        <v>15</v>
      </c>
      <c r="W1" t="s">
        <v>16</v>
      </c>
      <c r="X1" t="s">
        <v>34</v>
      </c>
      <c r="Y1" t="s">
        <v>35</v>
      </c>
      <c r="AA1" t="s">
        <v>17</v>
      </c>
      <c r="AB1" t="s">
        <v>18</v>
      </c>
      <c r="AC1" t="s">
        <v>34</v>
      </c>
      <c r="AD1" t="s">
        <v>35</v>
      </c>
      <c r="AF1" t="s">
        <v>19</v>
      </c>
      <c r="AG1" t="s">
        <v>20</v>
      </c>
      <c r="AH1" t="s">
        <v>34</v>
      </c>
      <c r="AI1" t="s">
        <v>35</v>
      </c>
      <c r="AK1" t="s">
        <v>21</v>
      </c>
      <c r="AL1" t="s">
        <v>22</v>
      </c>
      <c r="AM1" t="s">
        <v>23</v>
      </c>
      <c r="AN1" t="s">
        <v>24</v>
      </c>
      <c r="AO1" t="s">
        <v>25</v>
      </c>
      <c r="AP1" t="s">
        <v>26</v>
      </c>
    </row>
    <row r="2" spans="1:44" x14ac:dyDescent="0.2">
      <c r="A2" s="1" t="s">
        <v>0</v>
      </c>
      <c r="B2" s="1"/>
      <c r="C2" s="1">
        <f>IF(X2&gt;0.05, IF(AC2&gt;0.05,IF(AH2&gt;0.05,1,0),0),0)</f>
        <v>1</v>
      </c>
      <c r="E2">
        <f>G2+H2++L2+F2+M2+Q2+R2+V2+W2+AA2+AB2+AF2+AG2+AK2+AL2+AM2+AN2+AO2+AP2</f>
        <v>58340</v>
      </c>
      <c r="G2">
        <v>428</v>
      </c>
      <c r="H2">
        <v>450</v>
      </c>
      <c r="I2">
        <f t="shared" ref="I2:I35" si="0">(H2-G2)/SUM(G2:H2)</f>
        <v>2.5056947608200455E-2</v>
      </c>
      <c r="J2">
        <f t="shared" ref="J2:J35" si="1">SUM(F2:H2)/$E2</f>
        <v>1.5049708604730887E-2</v>
      </c>
      <c r="L2">
        <v>3620</v>
      </c>
      <c r="M2">
        <v>3815</v>
      </c>
      <c r="N2">
        <f t="shared" ref="N2:N5" si="2">(M2-L2)/SUM(L2:M2)</f>
        <v>2.6227303295225286E-2</v>
      </c>
      <c r="O2">
        <f t="shared" ref="O2:O35" si="3">SUM(L2:M2)/E2</f>
        <v>0.12744257799108674</v>
      </c>
      <c r="Q2">
        <v>10388</v>
      </c>
      <c r="R2">
        <v>10897</v>
      </c>
      <c r="S2">
        <f t="shared" ref="S2:S5" si="4">(R2-Q2)/SUM(Q2:R2)</f>
        <v>2.3913554146112286E-2</v>
      </c>
      <c r="T2">
        <f t="shared" ref="T2:T35" si="5">SUM(Q2:R2)/E2</f>
        <v>0.36484401782653408</v>
      </c>
      <c r="V2">
        <v>9663</v>
      </c>
      <c r="W2">
        <v>8446</v>
      </c>
      <c r="X2">
        <f>(V2-W2)/SUM(V2:W2)</f>
        <v>6.7204152631288316E-2</v>
      </c>
      <c r="Y2">
        <f t="shared" ref="Y2:Y35" si="6">SUM(V2:W2)/E2</f>
        <v>0.31040452519712031</v>
      </c>
      <c r="AA2">
        <v>3382</v>
      </c>
      <c r="AB2">
        <v>2854</v>
      </c>
      <c r="AC2">
        <f t="shared" ref="AC2:AC5" si="7">(AA2-AB2)/SUM(AA2:AB2)</f>
        <v>8.4669660038486208E-2</v>
      </c>
      <c r="AD2">
        <f t="shared" ref="AD2:AD35" si="8">SUM(AA2:AB2)/E2</f>
        <v>0.10689064106959205</v>
      </c>
      <c r="AF2">
        <v>448</v>
      </c>
      <c r="AG2">
        <v>401</v>
      </c>
      <c r="AH2">
        <f t="shared" ref="AH2:AH5" si="9">(AF2-AG2)/SUM(AF2:AG2)</f>
        <v>5.5359246171967018E-2</v>
      </c>
      <c r="AI2">
        <f t="shared" ref="AI2:AI35" si="10">SUM(AF2:AG2)/E2</f>
        <v>1.4552622557422009E-2</v>
      </c>
      <c r="AK2">
        <v>39</v>
      </c>
      <c r="AL2">
        <v>492</v>
      </c>
      <c r="AM2">
        <v>1749</v>
      </c>
      <c r="AN2">
        <v>948</v>
      </c>
      <c r="AO2">
        <v>288</v>
      </c>
      <c r="AP2">
        <v>32</v>
      </c>
      <c r="AQ2">
        <f>SUM(AK2:AP2)</f>
        <v>3548</v>
      </c>
      <c r="AR2">
        <f t="shared" ref="AR2:AR35" si="11">AQ2/E2</f>
        <v>6.0815906753513886E-2</v>
      </c>
    </row>
    <row r="3" spans="1:44" x14ac:dyDescent="0.2">
      <c r="A3" t="s">
        <v>1</v>
      </c>
      <c r="C3">
        <f t="shared" ref="C3:C35" si="12">IF(X3&gt;0.05, IF(AC3&gt;0.05,IF(AH3&gt;0.05,1,0),0),0)</f>
        <v>0</v>
      </c>
      <c r="E3">
        <f t="shared" ref="E3:E35" si="13">G3+H3++L3+F3+M3+Q3+R3+V3+W3+AA3+AB3+AF3+AG3</f>
        <v>41497</v>
      </c>
      <c r="G3">
        <v>153</v>
      </c>
      <c r="H3">
        <v>156</v>
      </c>
      <c r="I3">
        <f t="shared" si="0"/>
        <v>9.7087378640776691E-3</v>
      </c>
      <c r="J3">
        <f t="shared" si="1"/>
        <v>7.4463214208256015E-3</v>
      </c>
      <c r="L3">
        <v>2161</v>
      </c>
      <c r="M3">
        <v>2325</v>
      </c>
      <c r="N3">
        <f t="shared" si="2"/>
        <v>3.6558181007579134E-2</v>
      </c>
      <c r="O3">
        <f t="shared" si="3"/>
        <v>0.10810420030363641</v>
      </c>
      <c r="Q3">
        <v>8758</v>
      </c>
      <c r="R3">
        <v>8955</v>
      </c>
      <c r="S3">
        <f t="shared" si="4"/>
        <v>1.1121774967537966E-2</v>
      </c>
      <c r="T3">
        <f t="shared" si="5"/>
        <v>0.42685013374460806</v>
      </c>
      <c r="V3">
        <v>7883</v>
      </c>
      <c r="W3">
        <v>6983</v>
      </c>
      <c r="X3">
        <f t="shared" ref="X3:X5" si="14">(V3-W3)/SUM(V3:W3)</f>
        <v>6.0540831427418271E-2</v>
      </c>
      <c r="Y3">
        <f t="shared" si="6"/>
        <v>0.35824276453719545</v>
      </c>
      <c r="AA3">
        <v>2045</v>
      </c>
      <c r="AB3">
        <v>1735</v>
      </c>
      <c r="AC3">
        <f t="shared" si="7"/>
        <v>8.2010582010582006E-2</v>
      </c>
      <c r="AD3">
        <f t="shared" si="8"/>
        <v>9.109092223534232E-2</v>
      </c>
      <c r="AF3">
        <v>178</v>
      </c>
      <c r="AG3">
        <v>165</v>
      </c>
      <c r="AH3">
        <f t="shared" si="9"/>
        <v>3.7900874635568516E-2</v>
      </c>
      <c r="AI3">
        <f t="shared" si="10"/>
        <v>8.2656577583921729E-3</v>
      </c>
      <c r="AK3">
        <v>13</v>
      </c>
      <c r="AL3">
        <v>278</v>
      </c>
      <c r="AM3">
        <v>1400</v>
      </c>
      <c r="AN3">
        <v>707</v>
      </c>
      <c r="AO3">
        <v>154</v>
      </c>
      <c r="AP3">
        <v>7</v>
      </c>
      <c r="AQ3">
        <f t="shared" ref="AQ3:AQ5" si="15">SUM(AK3:AP3)</f>
        <v>2559</v>
      </c>
      <c r="AR3">
        <f t="shared" si="11"/>
        <v>6.1667108465672214E-2</v>
      </c>
    </row>
    <row r="4" spans="1:44" x14ac:dyDescent="0.2">
      <c r="A4" t="s">
        <v>2</v>
      </c>
      <c r="C4">
        <f t="shared" si="12"/>
        <v>0</v>
      </c>
      <c r="E4">
        <f t="shared" si="13"/>
        <v>23313</v>
      </c>
      <c r="G4">
        <v>21</v>
      </c>
      <c r="H4">
        <v>24</v>
      </c>
      <c r="I4">
        <f t="shared" si="0"/>
        <v>6.6666666666666666E-2</v>
      </c>
      <c r="J4">
        <f t="shared" si="1"/>
        <v>1.9302535066272038E-3</v>
      </c>
      <c r="L4">
        <v>694</v>
      </c>
      <c r="M4">
        <v>694</v>
      </c>
      <c r="N4">
        <f t="shared" si="2"/>
        <v>0</v>
      </c>
      <c r="O4">
        <f t="shared" si="3"/>
        <v>5.9537597048856861E-2</v>
      </c>
      <c r="Q4">
        <v>5616</v>
      </c>
      <c r="R4">
        <v>5651</v>
      </c>
      <c r="S4">
        <f t="shared" si="4"/>
        <v>3.1064169699121327E-3</v>
      </c>
      <c r="T4">
        <f t="shared" si="5"/>
        <v>0.48329258353708232</v>
      </c>
      <c r="V4">
        <v>4902</v>
      </c>
      <c r="W4">
        <v>4372</v>
      </c>
      <c r="X4">
        <f t="shared" si="14"/>
        <v>5.7149018762130688E-2</v>
      </c>
      <c r="Y4">
        <f t="shared" si="6"/>
        <v>0.39780380045468194</v>
      </c>
      <c r="AA4">
        <v>679</v>
      </c>
      <c r="AB4">
        <v>595</v>
      </c>
      <c r="AC4">
        <f t="shared" si="7"/>
        <v>6.5934065934065936E-2</v>
      </c>
      <c r="AD4">
        <f t="shared" si="8"/>
        <v>5.464762149873461E-2</v>
      </c>
      <c r="AF4">
        <v>32</v>
      </c>
      <c r="AG4">
        <v>33</v>
      </c>
      <c r="AH4">
        <f t="shared" si="9"/>
        <v>-1.5384615384615385E-2</v>
      </c>
      <c r="AI4">
        <f t="shared" si="10"/>
        <v>2.7881439540170718E-3</v>
      </c>
      <c r="AK4">
        <v>1</v>
      </c>
      <c r="AL4">
        <v>60</v>
      </c>
      <c r="AM4">
        <v>840</v>
      </c>
      <c r="AN4">
        <v>388</v>
      </c>
      <c r="AO4">
        <v>42</v>
      </c>
      <c r="AP4">
        <v>2</v>
      </c>
      <c r="AQ4">
        <f t="shared" si="15"/>
        <v>1333</v>
      </c>
      <c r="AR4">
        <f t="shared" si="11"/>
        <v>5.7178398318534725E-2</v>
      </c>
    </row>
    <row r="5" spans="1:44" x14ac:dyDescent="0.2">
      <c r="A5" s="1" t="s">
        <v>3</v>
      </c>
      <c r="B5" s="1"/>
      <c r="C5" s="1">
        <f t="shared" si="12"/>
        <v>1</v>
      </c>
      <c r="E5">
        <f t="shared" si="13"/>
        <v>75589</v>
      </c>
      <c r="G5">
        <v>1394</v>
      </c>
      <c r="H5">
        <v>1520</v>
      </c>
      <c r="I5">
        <f t="shared" si="0"/>
        <v>4.3239533287577216E-2</v>
      </c>
      <c r="J5">
        <f t="shared" si="1"/>
        <v>3.8550582756750322E-2</v>
      </c>
      <c r="L5">
        <v>6189</v>
      </c>
      <c r="M5">
        <v>6548</v>
      </c>
      <c r="N5">
        <f t="shared" si="2"/>
        <v>2.8185601004946218E-2</v>
      </c>
      <c r="O5">
        <f t="shared" si="3"/>
        <v>0.16850335366256994</v>
      </c>
      <c r="Q5">
        <v>12074</v>
      </c>
      <c r="R5">
        <v>12809</v>
      </c>
      <c r="S5">
        <f t="shared" si="4"/>
        <v>2.9538238958324962E-2</v>
      </c>
      <c r="T5">
        <f t="shared" si="5"/>
        <v>0.32918810938099458</v>
      </c>
      <c r="V5">
        <v>11537</v>
      </c>
      <c r="W5">
        <v>10078</v>
      </c>
      <c r="X5">
        <f t="shared" si="14"/>
        <v>6.7499421697894982E-2</v>
      </c>
      <c r="Y5">
        <f t="shared" si="6"/>
        <v>0.28595430552064455</v>
      </c>
      <c r="AA5">
        <v>5857</v>
      </c>
      <c r="AB5">
        <v>4973</v>
      </c>
      <c r="AC5">
        <f t="shared" si="7"/>
        <v>8.1625115420129277E-2</v>
      </c>
      <c r="AD5">
        <f t="shared" si="8"/>
        <v>0.14327481511860191</v>
      </c>
      <c r="AF5">
        <v>1425</v>
      </c>
      <c r="AG5">
        <v>1185</v>
      </c>
      <c r="AH5">
        <f t="shared" si="9"/>
        <v>9.1954022988505746E-2</v>
      </c>
      <c r="AI5">
        <f t="shared" si="10"/>
        <v>3.452883356043869E-2</v>
      </c>
      <c r="AK5">
        <v>177</v>
      </c>
      <c r="AL5">
        <v>996</v>
      </c>
      <c r="AM5">
        <v>1935</v>
      </c>
      <c r="AN5">
        <v>1253</v>
      </c>
      <c r="AO5">
        <v>568</v>
      </c>
      <c r="AP5">
        <v>102</v>
      </c>
      <c r="AQ5">
        <f t="shared" si="15"/>
        <v>5031</v>
      </c>
      <c r="AR5">
        <f t="shared" si="11"/>
        <v>6.6557303311328364E-2</v>
      </c>
    </row>
    <row r="6" spans="1:44" x14ac:dyDescent="0.2">
      <c r="A6" t="s">
        <v>4</v>
      </c>
      <c r="C6">
        <f t="shared" si="12"/>
        <v>0</v>
      </c>
      <c r="E6">
        <f t="shared" si="13"/>
        <v>92188</v>
      </c>
      <c r="G6">
        <v>1294</v>
      </c>
      <c r="H6">
        <v>1323</v>
      </c>
      <c r="I6">
        <f t="shared" si="0"/>
        <v>1.1081390905617119E-2</v>
      </c>
      <c r="J6">
        <f t="shared" si="1"/>
        <v>2.8387642643294138E-2</v>
      </c>
      <c r="L6">
        <v>10320</v>
      </c>
      <c r="M6">
        <v>9954</v>
      </c>
      <c r="N6">
        <f>(M6-L6)/SUM(L6:M6)</f>
        <v>-1.8052678307191476E-2</v>
      </c>
      <c r="O6">
        <f t="shared" si="3"/>
        <v>0.21992016314487786</v>
      </c>
      <c r="Q6">
        <v>15158</v>
      </c>
      <c r="R6">
        <v>14802</v>
      </c>
      <c r="S6">
        <f>(R6-Q6)/SUM(Q6:R6)</f>
        <v>-1.1882510013351135E-2</v>
      </c>
      <c r="T6">
        <f t="shared" si="5"/>
        <v>0.32498806786132683</v>
      </c>
      <c r="V6">
        <v>12546</v>
      </c>
      <c r="W6">
        <v>11721</v>
      </c>
      <c r="X6">
        <f t="shared" ref="X6:X14" si="16">(V6-W6)/SUM(V6:W6)</f>
        <v>3.3996785758437384E-2</v>
      </c>
      <c r="Y6">
        <f t="shared" si="6"/>
        <v>0.2632338265283985</v>
      </c>
      <c r="AA6">
        <v>7133</v>
      </c>
      <c r="AB6">
        <v>6695</v>
      </c>
      <c r="AC6">
        <f t="shared" ref="AC6:AC9" si="17">(AA6-AB6)/SUM(AA6:AB6)</f>
        <v>3.1674862597628001E-2</v>
      </c>
      <c r="AD6">
        <f t="shared" si="8"/>
        <v>0.14999783052024124</v>
      </c>
      <c r="AF6">
        <v>622</v>
      </c>
      <c r="AG6">
        <v>620</v>
      </c>
      <c r="AH6">
        <f t="shared" ref="AH6:AH9" si="18">(AF6-AG6)/SUM(AF6:AG6)</f>
        <v>1.6103059581320451E-3</v>
      </c>
      <c r="AI6">
        <f t="shared" si="10"/>
        <v>1.3472469301861413E-2</v>
      </c>
      <c r="AK6">
        <v>224</v>
      </c>
      <c r="AL6">
        <v>1546</v>
      </c>
      <c r="AM6">
        <v>2305</v>
      </c>
      <c r="AN6">
        <v>1521</v>
      </c>
      <c r="AO6">
        <v>768</v>
      </c>
      <c r="AP6">
        <v>188</v>
      </c>
      <c r="AQ6">
        <f t="shared" ref="AQ6:AQ9" si="19">SUM(AK6:AP6)</f>
        <v>6552</v>
      </c>
      <c r="AR6">
        <f t="shared" si="11"/>
        <v>7.1072156896776151E-2</v>
      </c>
    </row>
    <row r="7" spans="1:44" x14ac:dyDescent="0.2">
      <c r="A7" t="s">
        <v>5</v>
      </c>
      <c r="C7">
        <f t="shared" si="12"/>
        <v>0</v>
      </c>
      <c r="E7">
        <f t="shared" si="13"/>
        <v>126072</v>
      </c>
      <c r="G7">
        <v>6143</v>
      </c>
      <c r="H7">
        <v>6430</v>
      </c>
      <c r="I7">
        <f t="shared" si="0"/>
        <v>2.2826692118030702E-2</v>
      </c>
      <c r="J7">
        <f t="shared" si="1"/>
        <v>9.9728726442033122E-2</v>
      </c>
      <c r="L7">
        <v>14715</v>
      </c>
      <c r="M7">
        <v>14622</v>
      </c>
      <c r="N7">
        <f>(M7-L7)/SUM(L7:M7)</f>
        <v>-3.1700582881685245E-3</v>
      </c>
      <c r="O7">
        <f t="shared" si="3"/>
        <v>0.23270036169807728</v>
      </c>
      <c r="Q7">
        <v>13963</v>
      </c>
      <c r="R7">
        <v>13546</v>
      </c>
      <c r="S7">
        <f>(R7-Q7)/SUM(Q7:R7)</f>
        <v>-1.5158675342615145E-2</v>
      </c>
      <c r="T7">
        <f t="shared" si="5"/>
        <v>0.21820071070499397</v>
      </c>
      <c r="V7">
        <v>12875</v>
      </c>
      <c r="W7">
        <v>12080</v>
      </c>
      <c r="X7">
        <f t="shared" si="16"/>
        <v>3.1857343217792024E-2</v>
      </c>
      <c r="Y7">
        <f t="shared" si="6"/>
        <v>0.19794244558664889</v>
      </c>
      <c r="AA7">
        <v>12370</v>
      </c>
      <c r="AB7">
        <v>11301</v>
      </c>
      <c r="AC7">
        <f t="shared" si="17"/>
        <v>4.5160745215664738E-2</v>
      </c>
      <c r="AD7">
        <f t="shared" si="8"/>
        <v>0.18775778919982233</v>
      </c>
      <c r="AF7">
        <v>4361</v>
      </c>
      <c r="AG7">
        <v>3666</v>
      </c>
      <c r="AH7">
        <f t="shared" si="18"/>
        <v>8.6582783107013825E-2</v>
      </c>
      <c r="AI7">
        <f t="shared" si="10"/>
        <v>6.3669966368424397E-2</v>
      </c>
      <c r="AK7">
        <v>993</v>
      </c>
      <c r="AL7">
        <v>2249</v>
      </c>
      <c r="AM7">
        <v>2078</v>
      </c>
      <c r="AN7">
        <v>1555</v>
      </c>
      <c r="AO7">
        <v>1452</v>
      </c>
      <c r="AP7">
        <v>559</v>
      </c>
      <c r="AQ7">
        <f t="shared" si="19"/>
        <v>8886</v>
      </c>
      <c r="AR7">
        <f t="shared" si="11"/>
        <v>7.0483533219112882E-2</v>
      </c>
    </row>
    <row r="8" spans="1:44" x14ac:dyDescent="0.2">
      <c r="A8" t="s">
        <v>6</v>
      </c>
      <c r="C8">
        <f t="shared" si="12"/>
        <v>0</v>
      </c>
      <c r="E8">
        <f t="shared" si="13"/>
        <v>134807</v>
      </c>
      <c r="G8">
        <v>8982</v>
      </c>
      <c r="H8">
        <v>9303</v>
      </c>
      <c r="I8">
        <f t="shared" si="0"/>
        <v>1.7555373256767842E-2</v>
      </c>
      <c r="J8">
        <f t="shared" si="1"/>
        <v>0.13563835705860972</v>
      </c>
      <c r="L8">
        <v>15851</v>
      </c>
      <c r="M8">
        <v>15515</v>
      </c>
      <c r="N8">
        <f>(M8-L8)/SUM(L8:M8)</f>
        <v>-1.0712236179302429E-2</v>
      </c>
      <c r="O8">
        <f t="shared" si="3"/>
        <v>0.23267337749523392</v>
      </c>
      <c r="Q8">
        <v>12921</v>
      </c>
      <c r="R8">
        <v>12550</v>
      </c>
      <c r="S8">
        <f>(R8-Q8)/SUM(Q8:R8)</f>
        <v>-1.4565584390090692E-2</v>
      </c>
      <c r="T8">
        <f t="shared" si="5"/>
        <v>0.18894419429258125</v>
      </c>
      <c r="V8">
        <v>12077</v>
      </c>
      <c r="W8">
        <v>11260</v>
      </c>
      <c r="X8">
        <f t="shared" si="16"/>
        <v>3.5008784333890389E-2</v>
      </c>
      <c r="Y8">
        <f t="shared" si="6"/>
        <v>0.1731141557930968</v>
      </c>
      <c r="AA8">
        <v>12960</v>
      </c>
      <c r="AB8">
        <v>12111</v>
      </c>
      <c r="AC8">
        <f t="shared" si="17"/>
        <v>3.3863826732080889E-2</v>
      </c>
      <c r="AD8">
        <f t="shared" si="8"/>
        <v>0.18597698932548012</v>
      </c>
      <c r="AF8">
        <v>6031</v>
      </c>
      <c r="AG8">
        <v>5246</v>
      </c>
      <c r="AH8">
        <f t="shared" si="18"/>
        <v>6.9610712068812627E-2</v>
      </c>
      <c r="AI8">
        <f t="shared" si="10"/>
        <v>8.3652926034998187E-2</v>
      </c>
      <c r="AK8">
        <v>1425</v>
      </c>
      <c r="AL8">
        <v>2456</v>
      </c>
      <c r="AM8">
        <v>1973</v>
      </c>
      <c r="AN8">
        <v>1443</v>
      </c>
      <c r="AO8">
        <v>1501</v>
      </c>
      <c r="AP8">
        <v>730</v>
      </c>
      <c r="AQ8">
        <f t="shared" si="19"/>
        <v>9528</v>
      </c>
      <c r="AR8">
        <f t="shared" si="11"/>
        <v>7.0678822316348561E-2</v>
      </c>
    </row>
    <row r="9" spans="1:44" x14ac:dyDescent="0.2">
      <c r="A9" t="s">
        <v>7</v>
      </c>
      <c r="C9">
        <f t="shared" si="12"/>
        <v>0</v>
      </c>
      <c r="E9">
        <f t="shared" si="13"/>
        <v>119019</v>
      </c>
      <c r="G9">
        <v>4537</v>
      </c>
      <c r="H9">
        <v>4249</v>
      </c>
      <c r="I9">
        <f t="shared" si="0"/>
        <v>-3.2779421807420897E-2</v>
      </c>
      <c r="J9">
        <f t="shared" si="1"/>
        <v>7.3820146363185707E-2</v>
      </c>
      <c r="L9">
        <v>14877</v>
      </c>
      <c r="M9">
        <v>14703</v>
      </c>
      <c r="N9">
        <f>(M9-L9)/SUM(L9:M9)</f>
        <v>-5.8823529411764705E-3</v>
      </c>
      <c r="O9">
        <f t="shared" si="3"/>
        <v>0.24853174703198649</v>
      </c>
      <c r="Q9">
        <v>14904</v>
      </c>
      <c r="R9">
        <v>14711</v>
      </c>
      <c r="S9">
        <f>(R9-Q9)/SUM(Q9:R9)</f>
        <v>-6.5169677528279591E-3</v>
      </c>
      <c r="T9">
        <f t="shared" si="5"/>
        <v>0.24882581772658147</v>
      </c>
      <c r="V9">
        <v>13097</v>
      </c>
      <c r="W9">
        <v>12114</v>
      </c>
      <c r="X9">
        <f t="shared" si="16"/>
        <v>3.8990916663361234E-2</v>
      </c>
      <c r="Y9">
        <f t="shared" si="6"/>
        <v>0.21182332232668732</v>
      </c>
      <c r="AA9">
        <v>11174</v>
      </c>
      <c r="AB9">
        <v>10542</v>
      </c>
      <c r="AC9">
        <f t="shared" si="17"/>
        <v>2.9102965555350892E-2</v>
      </c>
      <c r="AD9">
        <f t="shared" si="8"/>
        <v>0.18245826296641712</v>
      </c>
      <c r="AF9">
        <v>2108</v>
      </c>
      <c r="AG9">
        <v>2003</v>
      </c>
      <c r="AH9">
        <f t="shared" si="18"/>
        <v>2.5541230844076866E-2</v>
      </c>
      <c r="AI9">
        <f t="shared" si="10"/>
        <v>3.4540703585141871E-2</v>
      </c>
      <c r="AK9">
        <v>657</v>
      </c>
      <c r="AL9">
        <v>2356</v>
      </c>
      <c r="AM9">
        <v>2237</v>
      </c>
      <c r="AN9">
        <v>1616</v>
      </c>
      <c r="AO9">
        <v>1196</v>
      </c>
      <c r="AP9">
        <v>328</v>
      </c>
      <c r="AQ9">
        <f t="shared" si="19"/>
        <v>8390</v>
      </c>
      <c r="AR9">
        <f t="shared" si="11"/>
        <v>7.049294650433964E-2</v>
      </c>
    </row>
    <row r="10" spans="1:44" x14ac:dyDescent="0.2">
      <c r="A10" t="s">
        <v>28</v>
      </c>
      <c r="C10">
        <f t="shared" si="12"/>
        <v>0</v>
      </c>
      <c r="E10">
        <f t="shared" si="13"/>
        <v>143197</v>
      </c>
      <c r="G10">
        <v>14219</v>
      </c>
      <c r="H10">
        <v>15378</v>
      </c>
      <c r="I10">
        <f t="shared" si="0"/>
        <v>3.9159374260904822E-2</v>
      </c>
      <c r="J10">
        <f t="shared" si="1"/>
        <v>0.20668729093486596</v>
      </c>
      <c r="L10">
        <v>11861</v>
      </c>
      <c r="M10">
        <v>12273</v>
      </c>
      <c r="N10">
        <f t="shared" ref="N10:N14" si="20">(M10-L10)/SUM(L10:M10)</f>
        <v>1.7071351620120991E-2</v>
      </c>
      <c r="O10">
        <f t="shared" si="3"/>
        <v>0.16853705035720021</v>
      </c>
      <c r="Q10">
        <v>10748</v>
      </c>
      <c r="R10">
        <v>10501</v>
      </c>
      <c r="S10">
        <f t="shared" ref="S10:S14" si="21">(R10-Q10)/SUM(Q10:R10)</f>
        <v>-1.1624076427125983E-2</v>
      </c>
      <c r="T10">
        <f t="shared" si="5"/>
        <v>0.14838998023701613</v>
      </c>
      <c r="V10">
        <v>10150</v>
      </c>
      <c r="W10">
        <v>9421</v>
      </c>
      <c r="X10">
        <f t="shared" si="16"/>
        <v>3.7248990853814321E-2</v>
      </c>
      <c r="Y10">
        <f t="shared" si="6"/>
        <v>0.1366718576506491</v>
      </c>
      <c r="AA10">
        <v>11768</v>
      </c>
      <c r="AB10">
        <v>10353</v>
      </c>
      <c r="AC10">
        <f t="shared" ref="AC10:AC14" si="22">(AA10-AB10)/SUM(AA10:AB10)</f>
        <v>6.3966366800777538E-2</v>
      </c>
      <c r="AD10">
        <f t="shared" si="8"/>
        <v>0.15447949328547386</v>
      </c>
      <c r="AF10">
        <v>14255</v>
      </c>
      <c r="AG10">
        <v>12270</v>
      </c>
      <c r="AH10">
        <f t="shared" ref="AH10:AH14" si="23">(AF10-AG10)/SUM(AF10:AG10)</f>
        <v>7.4835061262959468E-2</v>
      </c>
      <c r="AI10">
        <f t="shared" si="10"/>
        <v>0.18523432753479471</v>
      </c>
      <c r="AK10">
        <v>2323</v>
      </c>
      <c r="AL10">
        <v>1738</v>
      </c>
      <c r="AM10">
        <v>1573</v>
      </c>
      <c r="AN10">
        <v>1355</v>
      </c>
      <c r="AO10">
        <v>1507</v>
      </c>
      <c r="AP10">
        <v>1567</v>
      </c>
      <c r="AQ10">
        <f t="shared" ref="AQ10:AQ14" si="24">SUM(AK10:AP10)</f>
        <v>10063</v>
      </c>
      <c r="AR10">
        <f t="shared" si="11"/>
        <v>7.0273818585584888E-2</v>
      </c>
    </row>
    <row r="11" spans="1:44" x14ac:dyDescent="0.2">
      <c r="A11" t="s">
        <v>29</v>
      </c>
      <c r="C11">
        <f t="shared" si="12"/>
        <v>0</v>
      </c>
      <c r="E11">
        <f t="shared" si="13"/>
        <v>111876</v>
      </c>
      <c r="G11">
        <v>5933</v>
      </c>
      <c r="H11">
        <v>6332</v>
      </c>
      <c r="I11">
        <f t="shared" si="0"/>
        <v>3.2531593966571543E-2</v>
      </c>
      <c r="J11">
        <f t="shared" si="1"/>
        <v>0.10963030498051414</v>
      </c>
      <c r="L11">
        <v>10275</v>
      </c>
      <c r="M11">
        <v>11078</v>
      </c>
      <c r="N11">
        <f t="shared" si="20"/>
        <v>3.7605957008382894E-2</v>
      </c>
      <c r="O11">
        <f t="shared" si="3"/>
        <v>0.19086309843040508</v>
      </c>
      <c r="Q11">
        <v>12747</v>
      </c>
      <c r="R11">
        <v>12824</v>
      </c>
      <c r="S11">
        <f t="shared" si="21"/>
        <v>3.011223651793047E-3</v>
      </c>
      <c r="T11">
        <f t="shared" si="5"/>
        <v>0.22856555472129858</v>
      </c>
      <c r="V11">
        <v>12058</v>
      </c>
      <c r="W11">
        <v>10941</v>
      </c>
      <c r="X11">
        <f t="shared" si="16"/>
        <v>4.8567329014304973E-2</v>
      </c>
      <c r="Y11">
        <f t="shared" si="6"/>
        <v>0.20557581608209088</v>
      </c>
      <c r="AA11">
        <v>9969</v>
      </c>
      <c r="AB11">
        <v>8767</v>
      </c>
      <c r="AC11">
        <f t="shared" si="22"/>
        <v>6.4154568744662688E-2</v>
      </c>
      <c r="AD11">
        <f t="shared" si="8"/>
        <v>0.16747112874968714</v>
      </c>
      <c r="AF11">
        <v>6002</v>
      </c>
      <c r="AG11">
        <v>4950</v>
      </c>
      <c r="AH11">
        <f t="shared" si="23"/>
        <v>9.6055514974433889E-2</v>
      </c>
      <c r="AI11">
        <f t="shared" si="10"/>
        <v>9.7894097036004143E-2</v>
      </c>
      <c r="AK11">
        <v>965</v>
      </c>
      <c r="AL11">
        <v>1576</v>
      </c>
      <c r="AM11">
        <v>1940</v>
      </c>
      <c r="AN11">
        <v>1452</v>
      </c>
      <c r="AO11">
        <v>1142</v>
      </c>
      <c r="AP11">
        <v>577</v>
      </c>
      <c r="AQ11">
        <f t="shared" si="24"/>
        <v>7652</v>
      </c>
      <c r="AR11">
        <f t="shared" si="11"/>
        <v>6.8397153991919632E-2</v>
      </c>
    </row>
    <row r="12" spans="1:44" ht="17" customHeight="1" x14ac:dyDescent="0.2">
      <c r="A12" t="s">
        <v>30</v>
      </c>
      <c r="C12">
        <f t="shared" si="12"/>
        <v>0</v>
      </c>
      <c r="E12">
        <f t="shared" si="13"/>
        <v>58514</v>
      </c>
      <c r="G12">
        <v>363</v>
      </c>
      <c r="H12">
        <v>371</v>
      </c>
      <c r="I12">
        <f t="shared" si="0"/>
        <v>1.0899182561307902E-2</v>
      </c>
      <c r="J12">
        <f t="shared" si="1"/>
        <v>1.2544006562532043E-2</v>
      </c>
      <c r="L12">
        <v>3885</v>
      </c>
      <c r="M12">
        <v>4128</v>
      </c>
      <c r="N12">
        <f t="shared" si="20"/>
        <v>3.0325720703856234E-2</v>
      </c>
      <c r="O12">
        <f t="shared" si="3"/>
        <v>0.13694158662884096</v>
      </c>
      <c r="Q12">
        <v>11111</v>
      </c>
      <c r="R12">
        <v>11727</v>
      </c>
      <c r="S12">
        <f t="shared" si="21"/>
        <v>2.6972589543742886E-2</v>
      </c>
      <c r="T12">
        <f t="shared" si="5"/>
        <v>0.39029975732303379</v>
      </c>
      <c r="V12">
        <v>10420</v>
      </c>
      <c r="W12">
        <v>9016</v>
      </c>
      <c r="X12">
        <f t="shared" si="16"/>
        <v>7.2237085820127597E-2</v>
      </c>
      <c r="Y12">
        <f t="shared" si="6"/>
        <v>0.33215982499914548</v>
      </c>
      <c r="AA12">
        <v>3675</v>
      </c>
      <c r="AB12">
        <v>3094</v>
      </c>
      <c r="AC12">
        <f t="shared" si="22"/>
        <v>8.583247156153051E-2</v>
      </c>
      <c r="AD12">
        <f t="shared" si="8"/>
        <v>0.11568171719588474</v>
      </c>
      <c r="AF12">
        <v>376</v>
      </c>
      <c r="AG12">
        <v>348</v>
      </c>
      <c r="AH12">
        <f t="shared" si="23"/>
        <v>3.8674033149171269E-2</v>
      </c>
      <c r="AI12">
        <f t="shared" si="10"/>
        <v>1.2373107290562943E-2</v>
      </c>
      <c r="AK12">
        <v>33</v>
      </c>
      <c r="AL12">
        <v>564</v>
      </c>
      <c r="AM12">
        <v>1819</v>
      </c>
      <c r="AN12">
        <v>1083</v>
      </c>
      <c r="AO12">
        <v>307</v>
      </c>
      <c r="AP12">
        <v>27</v>
      </c>
      <c r="AQ12">
        <f t="shared" si="24"/>
        <v>3833</v>
      </c>
      <c r="AR12">
        <f t="shared" si="11"/>
        <v>6.5505690945756576E-2</v>
      </c>
    </row>
    <row r="13" spans="1:44" x14ac:dyDescent="0.2">
      <c r="A13" s="1" t="s">
        <v>31</v>
      </c>
      <c r="B13" s="1"/>
      <c r="C13" s="1">
        <f t="shared" si="12"/>
        <v>1</v>
      </c>
      <c r="E13">
        <f t="shared" si="13"/>
        <v>74871</v>
      </c>
      <c r="G13">
        <v>507</v>
      </c>
      <c r="H13">
        <v>530</v>
      </c>
      <c r="I13">
        <f t="shared" si="0"/>
        <v>2.2179363548698167E-2</v>
      </c>
      <c r="J13">
        <f t="shared" si="1"/>
        <v>1.3850489508621496E-2</v>
      </c>
      <c r="L13">
        <v>6044</v>
      </c>
      <c r="M13">
        <v>6375</v>
      </c>
      <c r="N13">
        <f t="shared" si="20"/>
        <v>2.665270955793542E-2</v>
      </c>
      <c r="O13">
        <f t="shared" si="3"/>
        <v>0.16587196644895888</v>
      </c>
      <c r="Q13">
        <v>13771</v>
      </c>
      <c r="R13">
        <v>14255</v>
      </c>
      <c r="S13">
        <f t="shared" si="21"/>
        <v>1.7269678155998003E-2</v>
      </c>
      <c r="T13">
        <f t="shared" si="5"/>
        <v>0.37432383699963939</v>
      </c>
      <c r="V13">
        <v>11976</v>
      </c>
      <c r="W13">
        <v>10752</v>
      </c>
      <c r="X13">
        <f t="shared" si="16"/>
        <v>5.385427666314678E-2</v>
      </c>
      <c r="Y13">
        <f t="shared" si="6"/>
        <v>0.30356212685819611</v>
      </c>
      <c r="AA13">
        <v>5285</v>
      </c>
      <c r="AB13">
        <v>4469</v>
      </c>
      <c r="AC13">
        <f t="shared" si="22"/>
        <v>8.3657986467090426E-2</v>
      </c>
      <c r="AD13">
        <f t="shared" si="8"/>
        <v>0.13027741047935784</v>
      </c>
      <c r="AF13">
        <v>494</v>
      </c>
      <c r="AG13">
        <v>413</v>
      </c>
      <c r="AH13">
        <f t="shared" si="23"/>
        <v>8.9305402425578828E-2</v>
      </c>
      <c r="AI13">
        <f t="shared" si="10"/>
        <v>1.2114169705226323E-2</v>
      </c>
      <c r="AK13">
        <v>48</v>
      </c>
      <c r="AL13">
        <v>948</v>
      </c>
      <c r="AM13">
        <v>2238</v>
      </c>
      <c r="AN13">
        <v>1393</v>
      </c>
      <c r="AO13">
        <v>482</v>
      </c>
      <c r="AP13">
        <v>29</v>
      </c>
      <c r="AQ13">
        <f t="shared" si="24"/>
        <v>5138</v>
      </c>
      <c r="AR13">
        <f t="shared" si="11"/>
        <v>6.8624701152649223E-2</v>
      </c>
    </row>
    <row r="14" spans="1:44" x14ac:dyDescent="0.2">
      <c r="A14" t="s">
        <v>32</v>
      </c>
      <c r="C14">
        <f t="shared" si="12"/>
        <v>0</v>
      </c>
      <c r="E14">
        <f t="shared" si="13"/>
        <v>123099</v>
      </c>
      <c r="G14">
        <v>6328</v>
      </c>
      <c r="H14">
        <v>6609</v>
      </c>
      <c r="I14">
        <f t="shared" si="0"/>
        <v>2.1720646208549122E-2</v>
      </c>
      <c r="J14">
        <f t="shared" si="1"/>
        <v>0.10509427371465244</v>
      </c>
      <c r="L14">
        <v>14483</v>
      </c>
      <c r="M14">
        <v>14233</v>
      </c>
      <c r="N14">
        <f t="shared" si="20"/>
        <v>-8.7059479036077445E-3</v>
      </c>
      <c r="O14">
        <f t="shared" si="3"/>
        <v>0.23327565617917287</v>
      </c>
      <c r="Q14">
        <v>13549</v>
      </c>
      <c r="R14">
        <v>13439</v>
      </c>
      <c r="S14">
        <f t="shared" si="21"/>
        <v>-4.0758855787757526E-3</v>
      </c>
      <c r="T14">
        <f t="shared" si="5"/>
        <v>0.2192381741525114</v>
      </c>
      <c r="V14">
        <v>12298</v>
      </c>
      <c r="W14">
        <v>11508</v>
      </c>
      <c r="X14">
        <f t="shared" si="16"/>
        <v>3.31849113668823E-2</v>
      </c>
      <c r="Y14">
        <f t="shared" si="6"/>
        <v>0.19338906083721233</v>
      </c>
      <c r="AA14">
        <v>11755</v>
      </c>
      <c r="AB14">
        <v>10774</v>
      </c>
      <c r="AC14">
        <f t="shared" si="22"/>
        <v>4.3543876781037771E-2</v>
      </c>
      <c r="AD14">
        <f t="shared" si="8"/>
        <v>0.18301529663116678</v>
      </c>
      <c r="AF14">
        <v>4394</v>
      </c>
      <c r="AG14">
        <v>3729</v>
      </c>
      <c r="AH14">
        <f t="shared" si="23"/>
        <v>8.1866305552135907E-2</v>
      </c>
      <c r="AI14">
        <f t="shared" si="10"/>
        <v>6.59875384852842E-2</v>
      </c>
      <c r="AK14">
        <v>1016</v>
      </c>
      <c r="AL14">
        <v>2199</v>
      </c>
      <c r="AM14">
        <v>2103</v>
      </c>
      <c r="AN14">
        <v>1449</v>
      </c>
      <c r="AO14">
        <v>1338</v>
      </c>
      <c r="AP14">
        <v>556</v>
      </c>
      <c r="AQ14">
        <f t="shared" si="24"/>
        <v>8661</v>
      </c>
      <c r="AR14">
        <f t="shared" si="11"/>
        <v>7.0358004532936905E-2</v>
      </c>
    </row>
    <row r="15" spans="1:44" x14ac:dyDescent="0.2">
      <c r="A15" t="s">
        <v>36</v>
      </c>
      <c r="C15">
        <f t="shared" si="12"/>
        <v>0</v>
      </c>
      <c r="E15">
        <f t="shared" si="13"/>
        <v>137492</v>
      </c>
      <c r="G15">
        <v>9164</v>
      </c>
      <c r="H15">
        <v>9368</v>
      </c>
      <c r="I15">
        <f t="shared" si="0"/>
        <v>1.1007986186056551E-2</v>
      </c>
      <c r="J15">
        <f t="shared" si="1"/>
        <v>0.13478602391411865</v>
      </c>
      <c r="L15">
        <v>16274</v>
      </c>
      <c r="M15">
        <v>15918</v>
      </c>
      <c r="N15">
        <f t="shared" ref="N15:N35" si="25">(M15-L15)/SUM(L15:M15)</f>
        <v>-1.1058648111332009E-2</v>
      </c>
      <c r="O15">
        <f t="shared" si="3"/>
        <v>0.23413725889506298</v>
      </c>
      <c r="Q15">
        <v>13413</v>
      </c>
      <c r="R15">
        <v>12702</v>
      </c>
      <c r="S15">
        <f t="shared" ref="S15:S35" si="26">(R15-Q15)/SUM(Q15:R15)</f>
        <v>-2.7225732337736931E-2</v>
      </c>
      <c r="T15">
        <f t="shared" si="5"/>
        <v>0.18993832368428709</v>
      </c>
      <c r="V15">
        <v>12311</v>
      </c>
      <c r="W15">
        <v>11401</v>
      </c>
      <c r="X15">
        <f t="shared" ref="X15:X35" si="27">(V15-W15)/SUM(V15:W15)</f>
        <v>3.8377192982456142E-2</v>
      </c>
      <c r="Y15">
        <f t="shared" si="6"/>
        <v>0.17246094318214877</v>
      </c>
      <c r="AA15">
        <v>13128</v>
      </c>
      <c r="AB15">
        <v>12404</v>
      </c>
      <c r="AC15">
        <f t="shared" ref="AC15:AC35" si="28">(AA15-AB15)/SUM(AA15:AB15)</f>
        <v>2.8356572144759517E-2</v>
      </c>
      <c r="AD15">
        <f t="shared" si="8"/>
        <v>0.18569807697902424</v>
      </c>
      <c r="AF15">
        <v>6143</v>
      </c>
      <c r="AG15">
        <v>5266</v>
      </c>
      <c r="AH15">
        <f t="shared" ref="AH15:AH35" si="29">(AF15-AG15)/SUM(AF15:AG15)</f>
        <v>7.6869138399509165E-2</v>
      </c>
      <c r="AI15">
        <f t="shared" si="10"/>
        <v>8.2979373345358279E-2</v>
      </c>
      <c r="AK15">
        <v>1069</v>
      </c>
      <c r="AL15">
        <v>1635</v>
      </c>
      <c r="AM15">
        <v>1354</v>
      </c>
      <c r="AN15">
        <v>1103</v>
      </c>
      <c r="AO15">
        <v>1060</v>
      </c>
      <c r="AP15">
        <v>540</v>
      </c>
      <c r="AQ15">
        <f t="shared" ref="AQ15:AQ35" si="30">SUM(AK15:AP15)</f>
        <v>6761</v>
      </c>
      <c r="AR15">
        <f t="shared" si="11"/>
        <v>4.9173770110260959E-2</v>
      </c>
    </row>
    <row r="16" spans="1:44" x14ac:dyDescent="0.2">
      <c r="A16" t="s">
        <v>37</v>
      </c>
      <c r="C16">
        <f t="shared" si="12"/>
        <v>0</v>
      </c>
      <c r="E16">
        <f t="shared" si="13"/>
        <v>121304</v>
      </c>
      <c r="G16">
        <v>4573</v>
      </c>
      <c r="H16">
        <v>4259</v>
      </c>
      <c r="I16">
        <f t="shared" si="0"/>
        <v>-3.5552536231884056E-2</v>
      </c>
      <c r="J16">
        <f t="shared" si="1"/>
        <v>7.2808810921321632E-2</v>
      </c>
      <c r="L16">
        <v>15201</v>
      </c>
      <c r="M16">
        <v>15177</v>
      </c>
      <c r="N16">
        <f t="shared" si="25"/>
        <v>-7.9004542761208774E-4</v>
      </c>
      <c r="O16">
        <f t="shared" si="3"/>
        <v>0.25042867506430128</v>
      </c>
      <c r="Q16">
        <v>15370</v>
      </c>
      <c r="R16">
        <v>14910</v>
      </c>
      <c r="S16">
        <f t="shared" si="26"/>
        <v>-1.5191545574636724E-2</v>
      </c>
      <c r="T16">
        <f t="shared" si="5"/>
        <v>0.24962078744311811</v>
      </c>
      <c r="V16">
        <v>13462</v>
      </c>
      <c r="W16">
        <v>12283</v>
      </c>
      <c r="X16">
        <f t="shared" si="27"/>
        <v>4.5795300058263738E-2</v>
      </c>
      <c r="Y16">
        <f t="shared" si="6"/>
        <v>0.21223537558530634</v>
      </c>
      <c r="AA16">
        <v>11394</v>
      </c>
      <c r="AB16">
        <v>10550</v>
      </c>
      <c r="AC16">
        <f t="shared" si="28"/>
        <v>3.8461538461538464E-2</v>
      </c>
      <c r="AD16">
        <f t="shared" si="8"/>
        <v>0.18090087713513156</v>
      </c>
      <c r="AF16">
        <v>2109</v>
      </c>
      <c r="AG16">
        <v>2016</v>
      </c>
      <c r="AH16">
        <f t="shared" si="29"/>
        <v>2.2545454545454546E-2</v>
      </c>
      <c r="AI16">
        <f t="shared" si="10"/>
        <v>3.4005473850821075E-2</v>
      </c>
      <c r="AK16">
        <v>495</v>
      </c>
      <c r="AL16">
        <v>1553</v>
      </c>
      <c r="AM16">
        <v>1636</v>
      </c>
      <c r="AN16">
        <v>1131</v>
      </c>
      <c r="AO16">
        <v>935</v>
      </c>
      <c r="AP16">
        <v>262</v>
      </c>
      <c r="AQ16">
        <f t="shared" si="30"/>
        <v>6012</v>
      </c>
      <c r="AR16">
        <f t="shared" si="11"/>
        <v>4.9561432434214868E-2</v>
      </c>
    </row>
    <row r="17" spans="1:44" x14ac:dyDescent="0.2">
      <c r="A17" t="s">
        <v>38</v>
      </c>
      <c r="C17">
        <f t="shared" si="12"/>
        <v>0</v>
      </c>
      <c r="E17">
        <f t="shared" si="13"/>
        <v>128641</v>
      </c>
      <c r="G17">
        <v>6344</v>
      </c>
      <c r="H17">
        <v>6438</v>
      </c>
      <c r="I17">
        <f t="shared" si="0"/>
        <v>7.3540916914410894E-3</v>
      </c>
      <c r="J17">
        <f t="shared" si="1"/>
        <v>9.9361789787081878E-2</v>
      </c>
      <c r="L17">
        <v>15157</v>
      </c>
      <c r="M17">
        <v>14851</v>
      </c>
      <c r="N17">
        <f t="shared" si="25"/>
        <v>-1.0197280725139963E-2</v>
      </c>
      <c r="O17">
        <f t="shared" si="3"/>
        <v>0.23326933092870858</v>
      </c>
      <c r="Q17">
        <v>14383</v>
      </c>
      <c r="R17">
        <v>13818</v>
      </c>
      <c r="S17">
        <f t="shared" si="26"/>
        <v>-2.0034750540760964E-2</v>
      </c>
      <c r="T17">
        <f t="shared" si="5"/>
        <v>0.21922248738738037</v>
      </c>
      <c r="V17">
        <v>13073</v>
      </c>
      <c r="W17">
        <v>12329</v>
      </c>
      <c r="X17">
        <f t="shared" si="27"/>
        <v>2.9289032359656721E-2</v>
      </c>
      <c r="Y17">
        <f t="shared" si="6"/>
        <v>0.19746426100543374</v>
      </c>
      <c r="AA17">
        <v>12536</v>
      </c>
      <c r="AB17">
        <v>11573</v>
      </c>
      <c r="AC17">
        <f t="shared" si="28"/>
        <v>3.9943589530880584E-2</v>
      </c>
      <c r="AD17">
        <f t="shared" si="8"/>
        <v>0.18741303316982921</v>
      </c>
      <c r="AF17">
        <v>4430</v>
      </c>
      <c r="AG17">
        <v>3709</v>
      </c>
      <c r="AH17">
        <f t="shared" si="29"/>
        <v>8.8585821353974692E-2</v>
      </c>
      <c r="AI17">
        <f t="shared" si="10"/>
        <v>6.326909772156622E-2</v>
      </c>
      <c r="AK17">
        <v>737</v>
      </c>
      <c r="AL17">
        <v>1559</v>
      </c>
      <c r="AM17">
        <v>1390</v>
      </c>
      <c r="AN17">
        <v>1156</v>
      </c>
      <c r="AO17">
        <v>1026</v>
      </c>
      <c r="AP17">
        <v>437</v>
      </c>
      <c r="AQ17">
        <f t="shared" si="30"/>
        <v>6305</v>
      </c>
      <c r="AR17">
        <f t="shared" si="11"/>
        <v>4.9012367752116356E-2</v>
      </c>
    </row>
    <row r="18" spans="1:44" x14ac:dyDescent="0.2">
      <c r="A18" t="s">
        <v>39</v>
      </c>
      <c r="C18">
        <f t="shared" si="12"/>
        <v>0</v>
      </c>
      <c r="E18">
        <f t="shared" si="13"/>
        <v>93970</v>
      </c>
      <c r="G18">
        <v>1246</v>
      </c>
      <c r="H18">
        <v>1351</v>
      </c>
      <c r="I18">
        <f t="shared" si="0"/>
        <v>4.0431266846361183E-2</v>
      </c>
      <c r="J18">
        <f t="shared" si="1"/>
        <v>2.7636479727572629E-2</v>
      </c>
      <c r="L18">
        <v>10539</v>
      </c>
      <c r="M18">
        <v>10186</v>
      </c>
      <c r="N18">
        <f t="shared" si="25"/>
        <v>-1.7032569360675511E-2</v>
      </c>
      <c r="O18">
        <f t="shared" si="3"/>
        <v>0.22054911141853784</v>
      </c>
      <c r="Q18">
        <v>15629</v>
      </c>
      <c r="R18">
        <v>15059</v>
      </c>
      <c r="S18">
        <f t="shared" si="26"/>
        <v>-1.8574035453597499E-2</v>
      </c>
      <c r="T18">
        <f t="shared" si="5"/>
        <v>0.32657231031180162</v>
      </c>
      <c r="V18">
        <v>12771</v>
      </c>
      <c r="W18">
        <v>11909</v>
      </c>
      <c r="X18">
        <f t="shared" si="27"/>
        <v>3.4927066450567264E-2</v>
      </c>
      <c r="Y18">
        <f t="shared" si="6"/>
        <v>0.2626370118122805</v>
      </c>
      <c r="AA18">
        <v>7279</v>
      </c>
      <c r="AB18">
        <v>6758</v>
      </c>
      <c r="AC18">
        <f t="shared" si="28"/>
        <v>3.7116192918714826E-2</v>
      </c>
      <c r="AD18">
        <f t="shared" si="8"/>
        <v>0.14937746089177398</v>
      </c>
      <c r="AF18">
        <v>619</v>
      </c>
      <c r="AG18">
        <v>624</v>
      </c>
      <c r="AH18">
        <f t="shared" si="29"/>
        <v>-4.0225261464199519E-3</v>
      </c>
      <c r="AI18">
        <f t="shared" si="10"/>
        <v>1.3227625838033415E-2</v>
      </c>
      <c r="AK18">
        <v>184</v>
      </c>
      <c r="AL18">
        <v>1071</v>
      </c>
      <c r="AM18">
        <v>1583</v>
      </c>
      <c r="AN18">
        <v>1121</v>
      </c>
      <c r="AO18">
        <v>537</v>
      </c>
      <c r="AP18">
        <v>178</v>
      </c>
      <c r="AQ18">
        <f t="shared" si="30"/>
        <v>4674</v>
      </c>
      <c r="AR18">
        <f t="shared" si="11"/>
        <v>4.9739278493136106E-2</v>
      </c>
    </row>
    <row r="19" spans="1:44" x14ac:dyDescent="0.2">
      <c r="A19" t="s">
        <v>40</v>
      </c>
      <c r="C19">
        <f t="shared" si="12"/>
        <v>0</v>
      </c>
      <c r="E19">
        <f t="shared" si="13"/>
        <v>114094</v>
      </c>
      <c r="G19">
        <v>6111</v>
      </c>
      <c r="H19">
        <v>6486</v>
      </c>
      <c r="I19">
        <f t="shared" si="0"/>
        <v>2.9768992617289831E-2</v>
      </c>
      <c r="J19">
        <f t="shared" si="1"/>
        <v>0.11040896103213139</v>
      </c>
      <c r="L19">
        <v>10677</v>
      </c>
      <c r="M19">
        <v>11053</v>
      </c>
      <c r="N19">
        <f t="shared" si="25"/>
        <v>1.7303267372296365E-2</v>
      </c>
      <c r="O19">
        <f t="shared" si="3"/>
        <v>0.19045699160341473</v>
      </c>
      <c r="Q19">
        <v>13236</v>
      </c>
      <c r="R19">
        <v>12906</v>
      </c>
      <c r="S19">
        <f t="shared" si="26"/>
        <v>-1.2623364700481983E-2</v>
      </c>
      <c r="T19">
        <f t="shared" si="5"/>
        <v>0.22912686030816695</v>
      </c>
      <c r="V19">
        <v>12245</v>
      </c>
      <c r="W19">
        <v>11194</v>
      </c>
      <c r="X19">
        <f t="shared" si="27"/>
        <v>4.4839796919663812E-2</v>
      </c>
      <c r="Y19">
        <f t="shared" si="6"/>
        <v>0.20543586866969341</v>
      </c>
      <c r="AA19">
        <v>10096</v>
      </c>
      <c r="AB19">
        <v>8966</v>
      </c>
      <c r="AC19">
        <f t="shared" si="28"/>
        <v>5.9280243416220756E-2</v>
      </c>
      <c r="AD19">
        <f t="shared" si="8"/>
        <v>0.16707276456255368</v>
      </c>
      <c r="AF19">
        <v>6005</v>
      </c>
      <c r="AG19">
        <v>5119</v>
      </c>
      <c r="AH19">
        <f t="shared" si="29"/>
        <v>7.9647608773822362E-2</v>
      </c>
      <c r="AI19">
        <f t="shared" si="10"/>
        <v>9.7498553824039824E-2</v>
      </c>
      <c r="AK19">
        <v>655</v>
      </c>
      <c r="AL19">
        <v>1211</v>
      </c>
      <c r="AM19">
        <v>1359</v>
      </c>
      <c r="AN19">
        <v>1060</v>
      </c>
      <c r="AO19">
        <v>828</v>
      </c>
      <c r="AP19">
        <v>421</v>
      </c>
      <c r="AQ19">
        <f t="shared" si="30"/>
        <v>5534</v>
      </c>
      <c r="AR19">
        <f t="shared" si="11"/>
        <v>4.8503865233929917E-2</v>
      </c>
    </row>
    <row r="20" spans="1:44" x14ac:dyDescent="0.2">
      <c r="A20" s="1" t="s">
        <v>41</v>
      </c>
      <c r="B20" s="1"/>
      <c r="C20" s="1">
        <f t="shared" si="12"/>
        <v>1</v>
      </c>
      <c r="E20">
        <f t="shared" si="13"/>
        <v>77026</v>
      </c>
      <c r="G20">
        <v>1418</v>
      </c>
      <c r="H20">
        <v>1547</v>
      </c>
      <c r="I20">
        <f t="shared" si="0"/>
        <v>4.350758853288364E-2</v>
      </c>
      <c r="J20">
        <f t="shared" si="1"/>
        <v>3.8493495702749722E-2</v>
      </c>
      <c r="L20">
        <v>6401</v>
      </c>
      <c r="M20">
        <v>6624</v>
      </c>
      <c r="N20">
        <f t="shared" si="25"/>
        <v>1.7120921305182342E-2</v>
      </c>
      <c r="O20">
        <f t="shared" si="3"/>
        <v>0.16909874587801521</v>
      </c>
      <c r="Q20">
        <v>12590</v>
      </c>
      <c r="R20">
        <v>12877</v>
      </c>
      <c r="S20">
        <f t="shared" si="26"/>
        <v>1.1269486001492126E-2</v>
      </c>
      <c r="T20">
        <f t="shared" si="5"/>
        <v>0.33062861890790124</v>
      </c>
      <c r="V20">
        <v>11618</v>
      </c>
      <c r="W20">
        <v>10307</v>
      </c>
      <c r="X20">
        <f t="shared" si="27"/>
        <v>5.9794754846066132E-2</v>
      </c>
      <c r="Y20">
        <f t="shared" si="6"/>
        <v>0.28464414613247474</v>
      </c>
      <c r="AA20">
        <v>5882</v>
      </c>
      <c r="AB20">
        <v>5113</v>
      </c>
      <c r="AC20">
        <f t="shared" si="28"/>
        <v>6.9940882219190537E-2</v>
      </c>
      <c r="AD20">
        <f t="shared" si="8"/>
        <v>0.14274400851660479</v>
      </c>
      <c r="AF20">
        <v>1432</v>
      </c>
      <c r="AG20">
        <v>1217</v>
      </c>
      <c r="AH20">
        <f t="shared" si="29"/>
        <v>8.116270290675727E-2</v>
      </c>
      <c r="AI20">
        <f t="shared" si="10"/>
        <v>3.4390984862254302E-2</v>
      </c>
      <c r="AK20">
        <v>132</v>
      </c>
      <c r="AL20">
        <v>718</v>
      </c>
      <c r="AM20">
        <v>1360</v>
      </c>
      <c r="AN20">
        <v>976</v>
      </c>
      <c r="AO20">
        <v>408</v>
      </c>
      <c r="AP20">
        <v>72</v>
      </c>
      <c r="AQ20">
        <f t="shared" si="30"/>
        <v>3666</v>
      </c>
      <c r="AR20">
        <f t="shared" si="11"/>
        <v>4.7594318801443665E-2</v>
      </c>
    </row>
    <row r="21" spans="1:44" x14ac:dyDescent="0.2">
      <c r="A21" s="1" t="s">
        <v>42</v>
      </c>
      <c r="B21" s="1"/>
      <c r="C21" s="1">
        <f t="shared" si="12"/>
        <v>0</v>
      </c>
      <c r="E21">
        <f t="shared" si="13"/>
        <v>55878</v>
      </c>
      <c r="G21">
        <v>428</v>
      </c>
      <c r="H21">
        <v>456</v>
      </c>
      <c r="I21">
        <f t="shared" si="0"/>
        <v>3.1674208144796379E-2</v>
      </c>
      <c r="J21">
        <f t="shared" si="1"/>
        <v>1.5820179677153798E-2</v>
      </c>
      <c r="L21">
        <v>3689</v>
      </c>
      <c r="M21">
        <v>3863</v>
      </c>
      <c r="N21">
        <f t="shared" si="25"/>
        <v>2.3040254237288137E-2</v>
      </c>
      <c r="O21">
        <f t="shared" si="3"/>
        <v>0.13515158022835463</v>
      </c>
      <c r="Q21">
        <v>10799</v>
      </c>
      <c r="R21">
        <v>11080</v>
      </c>
      <c r="S21">
        <f t="shared" si="26"/>
        <v>1.2843365784542255E-2</v>
      </c>
      <c r="T21">
        <f t="shared" si="5"/>
        <v>0.39154944700955652</v>
      </c>
      <c r="V21">
        <v>9700</v>
      </c>
      <c r="W21">
        <v>8679</v>
      </c>
      <c r="X21">
        <f t="shared" si="27"/>
        <v>5.5552532781979434E-2</v>
      </c>
      <c r="Y21">
        <f t="shared" si="6"/>
        <v>0.32891298901177568</v>
      </c>
      <c r="AA21">
        <v>3419</v>
      </c>
      <c r="AB21">
        <v>2898</v>
      </c>
      <c r="AC21">
        <f t="shared" si="28"/>
        <v>8.2475858793731205E-2</v>
      </c>
      <c r="AD21">
        <f t="shared" si="8"/>
        <v>0.11304985862056624</v>
      </c>
      <c r="AF21">
        <v>447</v>
      </c>
      <c r="AG21">
        <v>420</v>
      </c>
      <c r="AH21">
        <f t="shared" si="29"/>
        <v>3.1141868512110725E-2</v>
      </c>
      <c r="AI21">
        <f t="shared" si="10"/>
        <v>1.551594545259315E-2</v>
      </c>
      <c r="AK21">
        <v>37</v>
      </c>
      <c r="AL21">
        <v>370</v>
      </c>
      <c r="AM21">
        <v>1180</v>
      </c>
      <c r="AN21">
        <v>683</v>
      </c>
      <c r="AO21">
        <v>223</v>
      </c>
      <c r="AP21">
        <v>20</v>
      </c>
      <c r="AQ21">
        <f t="shared" si="30"/>
        <v>2513</v>
      </c>
      <c r="AR21">
        <f t="shared" si="11"/>
        <v>4.497297684240667E-2</v>
      </c>
    </row>
    <row r="22" spans="1:44" x14ac:dyDescent="0.2">
      <c r="A22" t="s">
        <v>43</v>
      </c>
      <c r="C22">
        <f t="shared" si="12"/>
        <v>0</v>
      </c>
      <c r="E22">
        <f t="shared" si="13"/>
        <v>42246</v>
      </c>
      <c r="G22">
        <v>155</v>
      </c>
      <c r="H22">
        <v>161</v>
      </c>
      <c r="I22">
        <f t="shared" si="0"/>
        <v>1.8987341772151899E-2</v>
      </c>
      <c r="J22">
        <f t="shared" si="1"/>
        <v>7.4799981063295934E-3</v>
      </c>
      <c r="L22">
        <v>2188</v>
      </c>
      <c r="M22">
        <v>2341</v>
      </c>
      <c r="N22">
        <f t="shared" si="25"/>
        <v>3.3782291896665928E-2</v>
      </c>
      <c r="O22">
        <f t="shared" si="3"/>
        <v>0.10720541589736306</v>
      </c>
      <c r="Q22">
        <v>9065</v>
      </c>
      <c r="R22">
        <v>9116</v>
      </c>
      <c r="S22">
        <f t="shared" si="26"/>
        <v>2.8051262306803804E-3</v>
      </c>
      <c r="T22">
        <f t="shared" si="5"/>
        <v>0.43036027079486816</v>
      </c>
      <c r="V22">
        <v>7961</v>
      </c>
      <c r="W22">
        <v>7076</v>
      </c>
      <c r="X22">
        <f t="shared" si="27"/>
        <v>5.885482476557824E-2</v>
      </c>
      <c r="Y22">
        <f t="shared" si="6"/>
        <v>0.35593902381290538</v>
      </c>
      <c r="AA22">
        <v>2075</v>
      </c>
      <c r="AB22">
        <v>1763</v>
      </c>
      <c r="AC22">
        <f t="shared" si="28"/>
        <v>8.1292339760291821E-2</v>
      </c>
      <c r="AD22">
        <f t="shared" si="8"/>
        <v>9.0848837759787915E-2</v>
      </c>
      <c r="AF22">
        <v>164</v>
      </c>
      <c r="AG22">
        <v>181</v>
      </c>
      <c r="AH22">
        <f t="shared" si="29"/>
        <v>-4.9275362318840582E-2</v>
      </c>
      <c r="AI22">
        <f t="shared" si="10"/>
        <v>8.166453628745917E-3</v>
      </c>
      <c r="AK22">
        <v>7</v>
      </c>
      <c r="AL22">
        <v>228</v>
      </c>
      <c r="AM22">
        <v>953</v>
      </c>
      <c r="AN22">
        <v>536</v>
      </c>
      <c r="AO22">
        <v>109</v>
      </c>
      <c r="AP22">
        <v>8</v>
      </c>
      <c r="AQ22">
        <f t="shared" si="30"/>
        <v>1841</v>
      </c>
      <c r="AR22">
        <f t="shared" si="11"/>
        <v>4.357809023339488E-2</v>
      </c>
    </row>
    <row r="23" spans="1:44" x14ac:dyDescent="0.2">
      <c r="A23" t="s">
        <v>44</v>
      </c>
      <c r="C23">
        <f t="shared" si="12"/>
        <v>0</v>
      </c>
      <c r="E23">
        <f t="shared" si="13"/>
        <v>23698</v>
      </c>
      <c r="G23">
        <v>22</v>
      </c>
      <c r="H23">
        <v>23</v>
      </c>
      <c r="I23">
        <f t="shared" si="0"/>
        <v>2.2222222222222223E-2</v>
      </c>
      <c r="J23">
        <f t="shared" si="1"/>
        <v>1.8988944214701662E-3</v>
      </c>
      <c r="L23">
        <v>688</v>
      </c>
      <c r="M23">
        <v>698</v>
      </c>
      <c r="N23">
        <f t="shared" si="25"/>
        <v>7.215007215007215E-3</v>
      </c>
      <c r="O23">
        <f t="shared" si="3"/>
        <v>5.8485948181281118E-2</v>
      </c>
      <c r="Q23">
        <v>5793</v>
      </c>
      <c r="R23">
        <v>5737</v>
      </c>
      <c r="S23">
        <f t="shared" si="26"/>
        <v>-4.8568950563746749E-3</v>
      </c>
      <c r="T23">
        <f t="shared" si="5"/>
        <v>0.48653894843446704</v>
      </c>
      <c r="V23">
        <v>5008</v>
      </c>
      <c r="W23">
        <v>4381</v>
      </c>
      <c r="X23">
        <f t="shared" si="27"/>
        <v>6.6780274789647459E-2</v>
      </c>
      <c r="Y23">
        <f t="shared" si="6"/>
        <v>0.3961937716262976</v>
      </c>
      <c r="AA23">
        <v>656</v>
      </c>
      <c r="AB23">
        <v>625</v>
      </c>
      <c r="AC23">
        <f t="shared" si="28"/>
        <v>2.4199843871975019E-2</v>
      </c>
      <c r="AD23">
        <f t="shared" si="8"/>
        <v>5.4055194531184063E-2</v>
      </c>
      <c r="AF23">
        <v>32</v>
      </c>
      <c r="AG23">
        <v>35</v>
      </c>
      <c r="AH23">
        <f t="shared" si="29"/>
        <v>-4.4776119402985072E-2</v>
      </c>
      <c r="AI23">
        <f t="shared" si="10"/>
        <v>2.8272428053000252E-3</v>
      </c>
      <c r="AK23">
        <v>1</v>
      </c>
      <c r="AL23">
        <v>62</v>
      </c>
      <c r="AM23">
        <v>576</v>
      </c>
      <c r="AN23">
        <v>275</v>
      </c>
      <c r="AO23">
        <v>38</v>
      </c>
      <c r="AP23">
        <v>1</v>
      </c>
      <c r="AQ23">
        <f t="shared" si="30"/>
        <v>953</v>
      </c>
      <c r="AR23">
        <f t="shared" si="11"/>
        <v>4.0214364081357076E-2</v>
      </c>
    </row>
    <row r="24" spans="1:44" x14ac:dyDescent="0.2">
      <c r="A24" t="s">
        <v>45</v>
      </c>
      <c r="C24">
        <f t="shared" si="12"/>
        <v>0</v>
      </c>
      <c r="E24">
        <f t="shared" si="13"/>
        <v>94751</v>
      </c>
      <c r="G24">
        <v>1237</v>
      </c>
      <c r="H24">
        <v>1348</v>
      </c>
      <c r="I24">
        <f t="shared" si="0"/>
        <v>4.2940038684719538E-2</v>
      </c>
      <c r="J24">
        <f t="shared" si="1"/>
        <v>2.7282033962702242E-2</v>
      </c>
      <c r="L24">
        <v>10761</v>
      </c>
      <c r="M24">
        <v>10078</v>
      </c>
      <c r="N24">
        <f t="shared" si="25"/>
        <v>-3.2775085176831899E-2</v>
      </c>
      <c r="O24">
        <f t="shared" si="3"/>
        <v>0.21993435425483637</v>
      </c>
      <c r="Q24">
        <v>15838</v>
      </c>
      <c r="R24">
        <v>15197</v>
      </c>
      <c r="S24">
        <f t="shared" si="26"/>
        <v>-2.0654100209440952E-2</v>
      </c>
      <c r="T24">
        <f t="shared" si="5"/>
        <v>0.32754271722725881</v>
      </c>
      <c r="V24">
        <v>12952</v>
      </c>
      <c r="W24">
        <v>11992</v>
      </c>
      <c r="X24">
        <f t="shared" si="27"/>
        <v>3.8486209108402822E-2</v>
      </c>
      <c r="Y24">
        <f t="shared" si="6"/>
        <v>0.26325843526717396</v>
      </c>
      <c r="AA24">
        <v>7306</v>
      </c>
      <c r="AB24">
        <v>6804</v>
      </c>
      <c r="AC24">
        <f t="shared" si="28"/>
        <v>3.5577604535790217E-2</v>
      </c>
      <c r="AD24">
        <f t="shared" si="8"/>
        <v>0.14891663412523351</v>
      </c>
      <c r="AF24">
        <v>614</v>
      </c>
      <c r="AG24">
        <v>624</v>
      </c>
      <c r="AH24">
        <f t="shared" si="29"/>
        <v>-8.0775444264943458E-3</v>
      </c>
      <c r="AI24">
        <f t="shared" si="10"/>
        <v>1.3065825162795116E-2</v>
      </c>
      <c r="AK24">
        <v>144</v>
      </c>
      <c r="AL24">
        <v>909</v>
      </c>
      <c r="AM24">
        <v>1254</v>
      </c>
      <c r="AN24">
        <v>873</v>
      </c>
      <c r="AO24">
        <v>423</v>
      </c>
      <c r="AP24">
        <v>171</v>
      </c>
      <c r="AQ24">
        <f t="shared" si="30"/>
        <v>3774</v>
      </c>
      <c r="AR24">
        <f t="shared" si="11"/>
        <v>3.9830714187713057E-2</v>
      </c>
    </row>
    <row r="25" spans="1:44" x14ac:dyDescent="0.2">
      <c r="A25" t="s">
        <v>46</v>
      </c>
      <c r="C25">
        <f t="shared" si="12"/>
        <v>0</v>
      </c>
      <c r="E25">
        <f t="shared" si="13"/>
        <v>129678</v>
      </c>
      <c r="G25">
        <v>6503</v>
      </c>
      <c r="H25">
        <v>6346</v>
      </c>
      <c r="I25">
        <f t="shared" si="0"/>
        <v>-1.22188497159312E-2</v>
      </c>
      <c r="J25">
        <f t="shared" si="1"/>
        <v>9.9083884699023739E-2</v>
      </c>
      <c r="L25">
        <v>15493</v>
      </c>
      <c r="M25">
        <v>14749</v>
      </c>
      <c r="N25">
        <f t="shared" si="25"/>
        <v>-2.460154751669863E-2</v>
      </c>
      <c r="O25">
        <f t="shared" si="3"/>
        <v>0.23320840851956384</v>
      </c>
      <c r="Q25">
        <v>14597</v>
      </c>
      <c r="R25">
        <v>13862</v>
      </c>
      <c r="S25">
        <f t="shared" si="26"/>
        <v>-2.5826627780315543E-2</v>
      </c>
      <c r="T25">
        <f t="shared" si="5"/>
        <v>0.2194589675966625</v>
      </c>
      <c r="V25">
        <v>13291</v>
      </c>
      <c r="W25">
        <v>12369</v>
      </c>
      <c r="X25">
        <f t="shared" si="27"/>
        <v>3.5931410756040533E-2</v>
      </c>
      <c r="Y25">
        <f t="shared" si="6"/>
        <v>0.19787473588426718</v>
      </c>
      <c r="AA25">
        <v>12597</v>
      </c>
      <c r="AB25">
        <v>11709</v>
      </c>
      <c r="AC25">
        <f t="shared" si="28"/>
        <v>3.6534189089113801E-2</v>
      </c>
      <c r="AD25">
        <f t="shared" si="8"/>
        <v>0.18743348910378013</v>
      </c>
      <c r="AF25">
        <v>4376</v>
      </c>
      <c r="AG25">
        <v>3786</v>
      </c>
      <c r="AH25">
        <f t="shared" si="29"/>
        <v>7.2286204361676057E-2</v>
      </c>
      <c r="AI25">
        <f t="shared" si="10"/>
        <v>6.2940514196702602E-2</v>
      </c>
      <c r="AK25">
        <v>597</v>
      </c>
      <c r="AL25">
        <v>1303</v>
      </c>
      <c r="AM25">
        <v>1161</v>
      </c>
      <c r="AN25">
        <v>921</v>
      </c>
      <c r="AO25">
        <v>839</v>
      </c>
      <c r="AP25">
        <v>411</v>
      </c>
      <c r="AQ25">
        <f t="shared" si="30"/>
        <v>5232</v>
      </c>
      <c r="AR25">
        <f t="shared" si="11"/>
        <v>4.0346088002591034E-2</v>
      </c>
    </row>
    <row r="26" spans="1:44" x14ac:dyDescent="0.2">
      <c r="A26" t="s">
        <v>47</v>
      </c>
      <c r="C26">
        <f t="shared" si="12"/>
        <v>0</v>
      </c>
      <c r="E26">
        <f t="shared" si="13"/>
        <v>23868</v>
      </c>
      <c r="G26">
        <v>22</v>
      </c>
      <c r="H26">
        <v>23</v>
      </c>
      <c r="I26">
        <f t="shared" si="0"/>
        <v>2.2222222222222223E-2</v>
      </c>
      <c r="J26">
        <f t="shared" si="1"/>
        <v>1.885369532428356E-3</v>
      </c>
      <c r="L26">
        <v>709</v>
      </c>
      <c r="M26">
        <v>678</v>
      </c>
      <c r="N26">
        <f t="shared" si="25"/>
        <v>-2.2350396539293438E-2</v>
      </c>
      <c r="O26">
        <f t="shared" si="3"/>
        <v>5.8111278699513991E-2</v>
      </c>
      <c r="Q26">
        <v>5866</v>
      </c>
      <c r="R26">
        <v>5762</v>
      </c>
      <c r="S26">
        <f t="shared" si="26"/>
        <v>-8.9439284485724121E-3</v>
      </c>
      <c r="T26">
        <f t="shared" si="5"/>
        <v>0.48717948717948717</v>
      </c>
      <c r="V26">
        <v>4987</v>
      </c>
      <c r="W26">
        <v>4454</v>
      </c>
      <c r="X26">
        <f t="shared" si="27"/>
        <v>5.6455883910602689E-2</v>
      </c>
      <c r="Y26">
        <f t="shared" si="6"/>
        <v>0.39555052790346906</v>
      </c>
      <c r="AA26">
        <v>678</v>
      </c>
      <c r="AB26">
        <v>621</v>
      </c>
      <c r="AC26">
        <f t="shared" si="28"/>
        <v>4.3879907621247112E-2</v>
      </c>
      <c r="AD26">
        <f t="shared" si="8"/>
        <v>5.4424333836098543E-2</v>
      </c>
      <c r="AF26">
        <v>34</v>
      </c>
      <c r="AG26">
        <v>34</v>
      </c>
      <c r="AH26">
        <f t="shared" si="29"/>
        <v>0</v>
      </c>
      <c r="AI26">
        <f t="shared" si="10"/>
        <v>2.8490028490028491E-3</v>
      </c>
      <c r="AK26">
        <v>1</v>
      </c>
      <c r="AL26">
        <v>58</v>
      </c>
      <c r="AM26">
        <v>475</v>
      </c>
      <c r="AN26">
        <v>227</v>
      </c>
      <c r="AO26">
        <v>26</v>
      </c>
      <c r="AP26">
        <v>0</v>
      </c>
      <c r="AQ26">
        <f t="shared" si="30"/>
        <v>787</v>
      </c>
      <c r="AR26">
        <f t="shared" si="11"/>
        <v>3.2973018267135917E-2</v>
      </c>
    </row>
    <row r="27" spans="1:44" x14ac:dyDescent="0.2">
      <c r="A27" t="s">
        <v>48</v>
      </c>
      <c r="C27">
        <f t="shared" si="12"/>
        <v>0</v>
      </c>
      <c r="E27">
        <f t="shared" si="13"/>
        <v>42561</v>
      </c>
      <c r="G27">
        <v>149</v>
      </c>
      <c r="H27">
        <v>163</v>
      </c>
      <c r="I27">
        <f t="shared" si="0"/>
        <v>4.4871794871794872E-2</v>
      </c>
      <c r="J27">
        <f t="shared" si="1"/>
        <v>7.3306548248396417E-3</v>
      </c>
      <c r="L27">
        <v>2274</v>
      </c>
      <c r="M27">
        <v>2293</v>
      </c>
      <c r="N27">
        <f t="shared" si="25"/>
        <v>4.1602802715130279E-3</v>
      </c>
      <c r="O27">
        <f t="shared" si="3"/>
        <v>0.10730480956744437</v>
      </c>
      <c r="Q27">
        <v>9168</v>
      </c>
      <c r="R27">
        <v>9162</v>
      </c>
      <c r="S27">
        <f t="shared" si="26"/>
        <v>-3.2733224222585927E-4</v>
      </c>
      <c r="T27">
        <f t="shared" si="5"/>
        <v>0.43067597095932897</v>
      </c>
      <c r="V27">
        <v>7946</v>
      </c>
      <c r="W27">
        <v>7172</v>
      </c>
      <c r="X27">
        <f t="shared" si="27"/>
        <v>5.1197248313268953E-2</v>
      </c>
      <c r="Y27">
        <f t="shared" si="6"/>
        <v>0.3552078193651465</v>
      </c>
      <c r="AA27">
        <v>2092</v>
      </c>
      <c r="AB27">
        <v>1791</v>
      </c>
      <c r="AC27">
        <f t="shared" si="28"/>
        <v>7.7517383466391962E-2</v>
      </c>
      <c r="AD27">
        <f t="shared" si="8"/>
        <v>9.1233758605295923E-2</v>
      </c>
      <c r="AF27">
        <v>174</v>
      </c>
      <c r="AG27">
        <v>177</v>
      </c>
      <c r="AH27">
        <f t="shared" si="29"/>
        <v>-8.5470085470085479E-3</v>
      </c>
      <c r="AI27">
        <f t="shared" si="10"/>
        <v>8.2469866779445976E-3</v>
      </c>
      <c r="AK27">
        <v>10</v>
      </c>
      <c r="AL27">
        <v>188</v>
      </c>
      <c r="AM27">
        <v>795</v>
      </c>
      <c r="AN27">
        <v>454</v>
      </c>
      <c r="AO27">
        <v>80</v>
      </c>
      <c r="AP27">
        <v>5</v>
      </c>
      <c r="AQ27">
        <f t="shared" si="30"/>
        <v>1532</v>
      </c>
      <c r="AR27">
        <f t="shared" si="11"/>
        <v>3.5995394845045936E-2</v>
      </c>
    </row>
    <row r="28" spans="1:44" x14ac:dyDescent="0.2">
      <c r="A28" s="1" t="s">
        <v>49</v>
      </c>
      <c r="B28" s="1"/>
      <c r="C28" s="1">
        <f t="shared" si="12"/>
        <v>1</v>
      </c>
      <c r="E28">
        <f t="shared" si="13"/>
        <v>56315</v>
      </c>
      <c r="G28">
        <v>432</v>
      </c>
      <c r="H28">
        <v>453</v>
      </c>
      <c r="I28">
        <f t="shared" si="0"/>
        <v>2.3728813559322035E-2</v>
      </c>
      <c r="J28">
        <f t="shared" si="1"/>
        <v>1.5715173577199679E-2</v>
      </c>
      <c r="L28">
        <v>3786</v>
      </c>
      <c r="M28">
        <v>3822</v>
      </c>
      <c r="N28">
        <f t="shared" si="25"/>
        <v>4.7318611987381704E-3</v>
      </c>
      <c r="O28">
        <f t="shared" si="3"/>
        <v>0.13509722098907928</v>
      </c>
      <c r="Q28">
        <v>10996</v>
      </c>
      <c r="R28">
        <v>11069</v>
      </c>
      <c r="S28">
        <f t="shared" si="26"/>
        <v>3.3084069793791072E-3</v>
      </c>
      <c r="T28">
        <f t="shared" si="5"/>
        <v>0.39181390393323273</v>
      </c>
      <c r="V28">
        <v>9726</v>
      </c>
      <c r="W28">
        <v>8791</v>
      </c>
      <c r="X28">
        <f t="shared" si="27"/>
        <v>5.0494140519522598E-2</v>
      </c>
      <c r="Y28">
        <f t="shared" si="6"/>
        <v>0.3288111515581994</v>
      </c>
      <c r="AA28">
        <v>3443</v>
      </c>
      <c r="AB28">
        <v>2927</v>
      </c>
      <c r="AC28">
        <f t="shared" si="28"/>
        <v>8.1004709576138145E-2</v>
      </c>
      <c r="AD28">
        <f t="shared" si="8"/>
        <v>0.11311373523927906</v>
      </c>
      <c r="AF28">
        <v>457</v>
      </c>
      <c r="AG28">
        <v>413</v>
      </c>
      <c r="AH28">
        <f t="shared" si="29"/>
        <v>5.057471264367816E-2</v>
      </c>
      <c r="AI28">
        <f t="shared" si="10"/>
        <v>1.5448814703009855E-2</v>
      </c>
      <c r="AK28">
        <v>34</v>
      </c>
      <c r="AL28">
        <v>311</v>
      </c>
      <c r="AM28">
        <v>981</v>
      </c>
      <c r="AN28">
        <v>550</v>
      </c>
      <c r="AO28">
        <v>189</v>
      </c>
      <c r="AP28">
        <v>20</v>
      </c>
      <c r="AQ28">
        <f t="shared" si="30"/>
        <v>2085</v>
      </c>
      <c r="AR28">
        <f t="shared" si="11"/>
        <v>3.702388351238569E-2</v>
      </c>
    </row>
    <row r="29" spans="1:44" x14ac:dyDescent="0.2">
      <c r="A29" s="1" t="s">
        <v>50</v>
      </c>
      <c r="B29" s="1"/>
      <c r="C29" s="1">
        <f t="shared" si="12"/>
        <v>1</v>
      </c>
      <c r="E29">
        <f t="shared" si="13"/>
        <v>77690</v>
      </c>
      <c r="G29">
        <v>1463</v>
      </c>
      <c r="H29">
        <v>1524</v>
      </c>
      <c r="I29">
        <f t="shared" si="0"/>
        <v>2.0421827920990961E-2</v>
      </c>
      <c r="J29">
        <f t="shared" si="1"/>
        <v>3.8447676663663277E-2</v>
      </c>
      <c r="L29">
        <v>6534</v>
      </c>
      <c r="M29">
        <v>6621</v>
      </c>
      <c r="N29">
        <f t="shared" si="25"/>
        <v>6.6134549600912204E-3</v>
      </c>
      <c r="O29">
        <f t="shared" si="3"/>
        <v>0.16932681168747588</v>
      </c>
      <c r="Q29">
        <v>12989</v>
      </c>
      <c r="R29">
        <v>12701</v>
      </c>
      <c r="S29">
        <f t="shared" si="26"/>
        <v>-1.1210587777345271E-2</v>
      </c>
      <c r="T29">
        <f t="shared" si="5"/>
        <v>0.33067318831252412</v>
      </c>
      <c r="V29">
        <v>11698</v>
      </c>
      <c r="W29">
        <v>10414</v>
      </c>
      <c r="X29">
        <f t="shared" si="27"/>
        <v>5.8068017366136038E-2</v>
      </c>
      <c r="Y29">
        <f t="shared" si="6"/>
        <v>0.28461835500064359</v>
      </c>
      <c r="AA29">
        <v>5839</v>
      </c>
      <c r="AB29">
        <v>5237</v>
      </c>
      <c r="AC29">
        <f t="shared" si="28"/>
        <v>5.4351751534850126E-2</v>
      </c>
      <c r="AD29">
        <f t="shared" si="8"/>
        <v>0.14256661088943237</v>
      </c>
      <c r="AF29">
        <v>1459</v>
      </c>
      <c r="AG29">
        <v>1211</v>
      </c>
      <c r="AH29">
        <f t="shared" si="29"/>
        <v>9.2883895131086136E-2</v>
      </c>
      <c r="AI29">
        <f t="shared" si="10"/>
        <v>3.4367357446260779E-2</v>
      </c>
      <c r="AK29">
        <v>117</v>
      </c>
      <c r="AL29">
        <v>589</v>
      </c>
      <c r="AM29">
        <v>1123</v>
      </c>
      <c r="AN29">
        <v>796</v>
      </c>
      <c r="AO29">
        <v>348</v>
      </c>
      <c r="AP29">
        <v>64</v>
      </c>
      <c r="AQ29">
        <f t="shared" si="30"/>
        <v>3037</v>
      </c>
      <c r="AR29">
        <f t="shared" si="11"/>
        <v>3.9091260136439696E-2</v>
      </c>
    </row>
    <row r="30" spans="1:44" x14ac:dyDescent="0.2">
      <c r="A30" t="s">
        <v>51</v>
      </c>
      <c r="C30">
        <f t="shared" si="12"/>
        <v>0</v>
      </c>
      <c r="E30">
        <f t="shared" si="13"/>
        <v>59642</v>
      </c>
      <c r="G30">
        <v>355</v>
      </c>
      <c r="H30">
        <v>387</v>
      </c>
      <c r="I30">
        <f t="shared" si="0"/>
        <v>4.3126684636118601E-2</v>
      </c>
      <c r="J30">
        <f t="shared" si="1"/>
        <v>1.2440897354213474E-2</v>
      </c>
      <c r="L30">
        <v>3967</v>
      </c>
      <c r="M30">
        <v>4188</v>
      </c>
      <c r="N30">
        <f t="shared" si="25"/>
        <v>2.7099938687921519E-2</v>
      </c>
      <c r="O30">
        <f t="shared" si="3"/>
        <v>0.13673250394017639</v>
      </c>
      <c r="Q30">
        <v>11569</v>
      </c>
      <c r="R30">
        <v>11861</v>
      </c>
      <c r="S30">
        <f t="shared" si="26"/>
        <v>1.2462654716175843E-2</v>
      </c>
      <c r="T30">
        <f t="shared" si="5"/>
        <v>0.39284396901512358</v>
      </c>
      <c r="V30">
        <v>10494</v>
      </c>
      <c r="W30">
        <v>9227</v>
      </c>
      <c r="X30">
        <f t="shared" si="27"/>
        <v>6.4246234977942296E-2</v>
      </c>
      <c r="Y30">
        <f t="shared" si="6"/>
        <v>0.33065624895208073</v>
      </c>
      <c r="AA30">
        <v>3709</v>
      </c>
      <c r="AB30">
        <v>3144</v>
      </c>
      <c r="AC30">
        <f t="shared" si="28"/>
        <v>8.2445644243397051E-2</v>
      </c>
      <c r="AD30">
        <f t="shared" si="8"/>
        <v>0.1149022500922169</v>
      </c>
      <c r="AF30">
        <v>371</v>
      </c>
      <c r="AG30">
        <v>370</v>
      </c>
      <c r="AH30">
        <f t="shared" si="29"/>
        <v>1.3495276653171389E-3</v>
      </c>
      <c r="AI30">
        <f t="shared" si="10"/>
        <v>1.2424130646188927E-2</v>
      </c>
      <c r="AK30">
        <v>28</v>
      </c>
      <c r="AL30">
        <v>427</v>
      </c>
      <c r="AM30">
        <v>1256</v>
      </c>
      <c r="AN30">
        <v>813</v>
      </c>
      <c r="AO30">
        <v>238</v>
      </c>
      <c r="AP30">
        <v>16</v>
      </c>
      <c r="AQ30">
        <f t="shared" si="30"/>
        <v>2778</v>
      </c>
      <c r="AR30">
        <f t="shared" si="11"/>
        <v>4.657791489219007E-2</v>
      </c>
    </row>
    <row r="31" spans="1:44" x14ac:dyDescent="0.2">
      <c r="A31" s="1" t="s">
        <v>52</v>
      </c>
      <c r="B31" s="1"/>
      <c r="C31" s="1">
        <f t="shared" si="12"/>
        <v>0</v>
      </c>
      <c r="E31">
        <f t="shared" si="13"/>
        <v>76303</v>
      </c>
      <c r="G31">
        <v>507</v>
      </c>
      <c r="H31">
        <v>539</v>
      </c>
      <c r="I31">
        <f t="shared" si="0"/>
        <v>3.0592734225621414E-2</v>
      </c>
      <c r="J31">
        <f t="shared" si="1"/>
        <v>1.3708504252781674E-2</v>
      </c>
      <c r="L31">
        <v>6194</v>
      </c>
      <c r="M31">
        <v>6474</v>
      </c>
      <c r="N31">
        <f t="shared" si="25"/>
        <v>2.2102936532996525E-2</v>
      </c>
      <c r="O31">
        <f t="shared" si="3"/>
        <v>0.16602230580711111</v>
      </c>
      <c r="Q31">
        <v>14350</v>
      </c>
      <c r="R31">
        <v>14325</v>
      </c>
      <c r="S31">
        <f t="shared" si="26"/>
        <v>-8.7183958151700091E-4</v>
      </c>
      <c r="T31">
        <f t="shared" si="5"/>
        <v>0.37580435893739433</v>
      </c>
      <c r="V31">
        <v>12107</v>
      </c>
      <c r="W31">
        <v>10977</v>
      </c>
      <c r="X31">
        <f t="shared" si="27"/>
        <v>4.8951654825853404E-2</v>
      </c>
      <c r="Y31">
        <f t="shared" si="6"/>
        <v>0.30253069997247817</v>
      </c>
      <c r="AA31">
        <v>5328</v>
      </c>
      <c r="AB31">
        <v>4581</v>
      </c>
      <c r="AC31">
        <f t="shared" si="28"/>
        <v>7.5386012715712991E-2</v>
      </c>
      <c r="AD31">
        <f t="shared" si="8"/>
        <v>0.12986383235259427</v>
      </c>
      <c r="AF31">
        <v>496</v>
      </c>
      <c r="AG31">
        <v>425</v>
      </c>
      <c r="AH31">
        <f t="shared" si="29"/>
        <v>7.7090119435396315E-2</v>
      </c>
      <c r="AI31">
        <f t="shared" si="10"/>
        <v>1.207029867764046E-2</v>
      </c>
      <c r="AK31">
        <v>42</v>
      </c>
      <c r="AL31">
        <v>687</v>
      </c>
      <c r="AM31">
        <v>1598</v>
      </c>
      <c r="AN31">
        <v>1067</v>
      </c>
      <c r="AO31">
        <v>333</v>
      </c>
      <c r="AP31">
        <v>20</v>
      </c>
      <c r="AQ31">
        <f t="shared" si="30"/>
        <v>3747</v>
      </c>
      <c r="AR31">
        <f t="shared" si="11"/>
        <v>4.9106850320433014E-2</v>
      </c>
    </row>
    <row r="32" spans="1:44" x14ac:dyDescent="0.2">
      <c r="A32" t="s">
        <v>53</v>
      </c>
      <c r="C32">
        <f t="shared" si="12"/>
        <v>0</v>
      </c>
      <c r="E32">
        <f t="shared" si="13"/>
        <v>125614</v>
      </c>
      <c r="G32">
        <v>6460</v>
      </c>
      <c r="H32">
        <v>6663</v>
      </c>
      <c r="I32">
        <f t="shared" si="0"/>
        <v>1.5469023851253524E-2</v>
      </c>
      <c r="J32">
        <f t="shared" si="1"/>
        <v>0.10447083923766459</v>
      </c>
      <c r="L32">
        <v>14880</v>
      </c>
      <c r="M32">
        <v>14505</v>
      </c>
      <c r="N32">
        <f t="shared" si="25"/>
        <v>-1.2761613067891782E-2</v>
      </c>
      <c r="O32">
        <f t="shared" si="3"/>
        <v>0.23393093126562325</v>
      </c>
      <c r="Q32">
        <v>14060</v>
      </c>
      <c r="R32">
        <v>13664</v>
      </c>
      <c r="S32">
        <f t="shared" si="26"/>
        <v>-1.4283653152503246E-2</v>
      </c>
      <c r="T32">
        <f t="shared" si="5"/>
        <v>0.22070788287929691</v>
      </c>
      <c r="V32">
        <v>12487</v>
      </c>
      <c r="W32">
        <v>11676</v>
      </c>
      <c r="X32">
        <f t="shared" si="27"/>
        <v>3.3563713115093326E-2</v>
      </c>
      <c r="Y32">
        <f t="shared" si="6"/>
        <v>0.19235913194389159</v>
      </c>
      <c r="AA32">
        <v>11874</v>
      </c>
      <c r="AB32">
        <v>11097</v>
      </c>
      <c r="AC32">
        <f t="shared" si="28"/>
        <v>3.3825257933916678E-2</v>
      </c>
      <c r="AD32">
        <f t="shared" si="8"/>
        <v>0.18286974381836418</v>
      </c>
      <c r="AF32">
        <v>4491</v>
      </c>
      <c r="AG32">
        <v>3757</v>
      </c>
      <c r="AH32">
        <f t="shared" si="29"/>
        <v>8.899127061105723E-2</v>
      </c>
      <c r="AI32">
        <f t="shared" si="10"/>
        <v>6.5661470855159457E-2</v>
      </c>
      <c r="AK32">
        <v>771</v>
      </c>
      <c r="AL32">
        <v>1551</v>
      </c>
      <c r="AM32">
        <v>1392</v>
      </c>
      <c r="AN32">
        <v>1109</v>
      </c>
      <c r="AO32">
        <v>925</v>
      </c>
      <c r="AP32">
        <v>416</v>
      </c>
      <c r="AQ32">
        <f t="shared" si="30"/>
        <v>6164</v>
      </c>
      <c r="AR32">
        <f t="shared" si="11"/>
        <v>4.9070963427643416E-2</v>
      </c>
    </row>
    <row r="33" spans="1:44" x14ac:dyDescent="0.2">
      <c r="A33" t="s">
        <v>54</v>
      </c>
      <c r="C33">
        <f t="shared" si="12"/>
        <v>0</v>
      </c>
      <c r="E33">
        <f t="shared" si="13"/>
        <v>126583</v>
      </c>
      <c r="G33">
        <v>6667</v>
      </c>
      <c r="H33">
        <v>6570</v>
      </c>
      <c r="I33">
        <f t="shared" si="0"/>
        <v>-7.3279443982775553E-3</v>
      </c>
      <c r="J33">
        <f t="shared" si="1"/>
        <v>0.10457170394128754</v>
      </c>
      <c r="L33">
        <v>15157</v>
      </c>
      <c r="M33">
        <v>14489</v>
      </c>
      <c r="N33">
        <f t="shared" si="25"/>
        <v>-2.2532550765701948E-2</v>
      </c>
      <c r="O33">
        <f t="shared" si="3"/>
        <v>0.23420206504822921</v>
      </c>
      <c r="Q33">
        <v>14325</v>
      </c>
      <c r="R33">
        <v>13559</v>
      </c>
      <c r="S33">
        <f t="shared" si="26"/>
        <v>-2.7470951083058383E-2</v>
      </c>
      <c r="T33">
        <f t="shared" si="5"/>
        <v>0.22028234439063699</v>
      </c>
      <c r="V33">
        <v>12667</v>
      </c>
      <c r="W33">
        <v>11721</v>
      </c>
      <c r="X33">
        <f t="shared" si="27"/>
        <v>3.8789568640314909E-2</v>
      </c>
      <c r="Y33">
        <f t="shared" si="6"/>
        <v>0.19266410181461965</v>
      </c>
      <c r="AA33">
        <v>11960</v>
      </c>
      <c r="AB33">
        <v>11201</v>
      </c>
      <c r="AC33">
        <f t="shared" si="28"/>
        <v>3.2770605759682221E-2</v>
      </c>
      <c r="AD33">
        <f t="shared" si="8"/>
        <v>0.18297085706611471</v>
      </c>
      <c r="AF33">
        <v>4460</v>
      </c>
      <c r="AG33">
        <v>3807</v>
      </c>
      <c r="AH33">
        <f t="shared" si="29"/>
        <v>7.8988750453610743E-2</v>
      </c>
      <c r="AI33">
        <f t="shared" si="10"/>
        <v>6.5308927739111886E-2</v>
      </c>
      <c r="AK33">
        <v>591</v>
      </c>
      <c r="AL33">
        <v>1285</v>
      </c>
      <c r="AM33">
        <v>1243</v>
      </c>
      <c r="AN33">
        <v>879</v>
      </c>
      <c r="AO33">
        <v>766</v>
      </c>
      <c r="AP33">
        <v>390</v>
      </c>
      <c r="AQ33">
        <f t="shared" si="30"/>
        <v>5154</v>
      </c>
      <c r="AR33">
        <f t="shared" si="11"/>
        <v>4.0716367916702877E-2</v>
      </c>
    </row>
    <row r="34" spans="1:44" x14ac:dyDescent="0.2">
      <c r="A34" s="1" t="s">
        <v>55</v>
      </c>
      <c r="B34" s="1"/>
      <c r="C34" s="1">
        <f t="shared" si="12"/>
        <v>1</v>
      </c>
      <c r="E34">
        <f t="shared" si="13"/>
        <v>76955</v>
      </c>
      <c r="G34">
        <v>525</v>
      </c>
      <c r="H34">
        <v>527</v>
      </c>
      <c r="I34">
        <f t="shared" si="0"/>
        <v>1.9011406844106464E-3</v>
      </c>
      <c r="J34">
        <f t="shared" si="1"/>
        <v>1.3670326814372035E-2</v>
      </c>
      <c r="L34">
        <v>6328</v>
      </c>
      <c r="M34">
        <v>6440</v>
      </c>
      <c r="N34">
        <f t="shared" si="25"/>
        <v>8.771929824561403E-3</v>
      </c>
      <c r="O34">
        <f t="shared" si="3"/>
        <v>0.16591514521473588</v>
      </c>
      <c r="Q34">
        <v>14686</v>
      </c>
      <c r="R34">
        <v>14272</v>
      </c>
      <c r="S34">
        <f t="shared" si="26"/>
        <v>-1.4296567442502935E-2</v>
      </c>
      <c r="T34">
        <f t="shared" si="5"/>
        <v>0.37629783639789488</v>
      </c>
      <c r="V34">
        <v>12226</v>
      </c>
      <c r="W34">
        <v>11048</v>
      </c>
      <c r="X34">
        <f t="shared" si="27"/>
        <v>5.0614419523932287E-2</v>
      </c>
      <c r="Y34">
        <f t="shared" si="6"/>
        <v>0.30243648885712432</v>
      </c>
      <c r="AA34">
        <v>5290</v>
      </c>
      <c r="AB34">
        <v>4688</v>
      </c>
      <c r="AC34">
        <f t="shared" si="28"/>
        <v>6.0332732010422933E-2</v>
      </c>
      <c r="AD34">
        <f t="shared" si="8"/>
        <v>0.1296601910207264</v>
      </c>
      <c r="AF34">
        <v>499</v>
      </c>
      <c r="AG34">
        <v>426</v>
      </c>
      <c r="AH34">
        <f t="shared" si="29"/>
        <v>7.8918918918918918E-2</v>
      </c>
      <c r="AI34">
        <f t="shared" si="10"/>
        <v>1.2020011695146514E-2</v>
      </c>
      <c r="AK34">
        <v>36</v>
      </c>
      <c r="AL34">
        <v>565</v>
      </c>
      <c r="AM34">
        <v>1304</v>
      </c>
      <c r="AN34">
        <v>882</v>
      </c>
      <c r="AO34">
        <v>289</v>
      </c>
      <c r="AP34">
        <v>19</v>
      </c>
      <c r="AQ34">
        <f t="shared" si="30"/>
        <v>3095</v>
      </c>
      <c r="AR34">
        <f t="shared" si="11"/>
        <v>4.0218309401598339E-2</v>
      </c>
    </row>
    <row r="35" spans="1:44" x14ac:dyDescent="0.2">
      <c r="A35" t="s">
        <v>56</v>
      </c>
      <c r="C35">
        <f t="shared" si="12"/>
        <v>0</v>
      </c>
      <c r="E35">
        <f t="shared" si="13"/>
        <v>60147</v>
      </c>
      <c r="G35">
        <v>357</v>
      </c>
      <c r="H35">
        <v>384</v>
      </c>
      <c r="I35">
        <f t="shared" si="0"/>
        <v>3.643724696356275E-2</v>
      </c>
      <c r="J35">
        <f t="shared" si="1"/>
        <v>1.231981644969824E-2</v>
      </c>
      <c r="L35">
        <v>4079</v>
      </c>
      <c r="M35">
        <v>4155</v>
      </c>
      <c r="N35">
        <f t="shared" si="25"/>
        <v>9.2300218605780911E-3</v>
      </c>
      <c r="O35">
        <f t="shared" si="3"/>
        <v>0.13689793339651188</v>
      </c>
      <c r="Q35">
        <v>11835</v>
      </c>
      <c r="R35">
        <v>11794</v>
      </c>
      <c r="S35">
        <f t="shared" si="26"/>
        <v>-1.7351559524313345E-3</v>
      </c>
      <c r="T35">
        <f t="shared" si="5"/>
        <v>0.39285417394051242</v>
      </c>
      <c r="V35">
        <v>10524</v>
      </c>
      <c r="W35">
        <v>9365</v>
      </c>
      <c r="X35">
        <f t="shared" si="27"/>
        <v>5.8273417466941528E-2</v>
      </c>
      <c r="Y35">
        <f t="shared" si="6"/>
        <v>0.33067318403245383</v>
      </c>
      <c r="AA35">
        <v>3718</v>
      </c>
      <c r="AB35">
        <v>3190</v>
      </c>
      <c r="AC35">
        <f t="shared" si="28"/>
        <v>7.6433121019108277E-2</v>
      </c>
      <c r="AD35">
        <f t="shared" si="8"/>
        <v>0.11485194606547293</v>
      </c>
      <c r="AF35">
        <v>384</v>
      </c>
      <c r="AG35">
        <v>362</v>
      </c>
      <c r="AH35">
        <f t="shared" si="29"/>
        <v>2.9490616621983913E-2</v>
      </c>
      <c r="AI35">
        <f t="shared" si="10"/>
        <v>1.2402946115350724E-2</v>
      </c>
      <c r="AK35">
        <v>27</v>
      </c>
      <c r="AL35">
        <v>354</v>
      </c>
      <c r="AM35">
        <v>1062</v>
      </c>
      <c r="AN35">
        <v>656</v>
      </c>
      <c r="AO35">
        <v>208</v>
      </c>
      <c r="AP35">
        <v>15</v>
      </c>
      <c r="AQ35">
        <f t="shared" si="30"/>
        <v>2322</v>
      </c>
      <c r="AR35">
        <f t="shared" si="11"/>
        <v>3.8605416729013915E-2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8362-59E4-724D-A7F3-48DED13FEA6D}">
  <dimension ref="B2:R93"/>
  <sheetViews>
    <sheetView topLeftCell="D1" zoomScaleNormal="100" workbookViewId="0">
      <selection activeCell="C4" sqref="C4"/>
    </sheetView>
  </sheetViews>
  <sheetFormatPr baseColWidth="10" defaultRowHeight="16" x14ac:dyDescent="0.2"/>
  <cols>
    <col min="4" max="4" width="15.1640625" bestFit="1" customWidth="1"/>
    <col min="5" max="5" width="13.33203125" bestFit="1" customWidth="1"/>
    <col min="6" max="6" width="14.83203125" bestFit="1" customWidth="1"/>
    <col min="7" max="7" width="15.33203125" bestFit="1" customWidth="1"/>
    <col min="8" max="8" width="13.5" bestFit="1" customWidth="1"/>
    <col min="9" max="9" width="15" bestFit="1" customWidth="1"/>
    <col min="10" max="10" width="14.83203125" bestFit="1" customWidth="1"/>
    <col min="11" max="11" width="13" bestFit="1" customWidth="1"/>
    <col min="12" max="12" width="14.5" bestFit="1" customWidth="1"/>
    <col min="13" max="13" width="13.6640625" bestFit="1" customWidth="1"/>
    <col min="14" max="14" width="13.33203125" bestFit="1" customWidth="1"/>
  </cols>
  <sheetData>
    <row r="2" spans="2:18" x14ac:dyDescent="0.2">
      <c r="B2" t="s">
        <v>87</v>
      </c>
      <c r="C2" t="s">
        <v>88</v>
      </c>
      <c r="D2" t="s">
        <v>60</v>
      </c>
    </row>
    <row r="3" spans="2:18" x14ac:dyDescent="0.2">
      <c r="C3" t="s">
        <v>59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</row>
    <row r="4" spans="2:18" x14ac:dyDescent="0.2">
      <c r="B4">
        <v>20</v>
      </c>
      <c r="C4" t="s">
        <v>61</v>
      </c>
      <c r="D4">
        <v>8.1317E-2</v>
      </c>
      <c r="E4">
        <v>4.3410000000000002E-3</v>
      </c>
      <c r="F4">
        <v>303</v>
      </c>
      <c r="G4">
        <v>0.12464600000000001</v>
      </c>
      <c r="H4">
        <v>4.8190000000000004E-3</v>
      </c>
      <c r="I4">
        <v>0.46753099999999997</v>
      </c>
      <c r="J4">
        <v>1.7830000000000001E-3</v>
      </c>
      <c r="K4">
        <v>1.493E-3</v>
      </c>
      <c r="L4">
        <v>31.303846</v>
      </c>
      <c r="M4">
        <v>6.9249000000000005E-2</v>
      </c>
      <c r="N4">
        <v>111.590459</v>
      </c>
      <c r="P4" t="s">
        <v>61</v>
      </c>
      <c r="R4" t="s">
        <v>61</v>
      </c>
    </row>
    <row r="5" spans="2:18" x14ac:dyDescent="0.2">
      <c r="B5">
        <v>36</v>
      </c>
      <c r="C5" t="s">
        <v>2</v>
      </c>
      <c r="D5">
        <v>7.9120000000000006E-3</v>
      </c>
      <c r="E5">
        <v>1.7290000000000001E-3</v>
      </c>
      <c r="F5">
        <v>104</v>
      </c>
      <c r="G5">
        <v>3.3470000000000001E-3</v>
      </c>
      <c r="H5">
        <v>1.4239999999999999E-3</v>
      </c>
      <c r="I5">
        <v>1.6028000000000001E-2</v>
      </c>
      <c r="J5">
        <v>5.829E-3</v>
      </c>
      <c r="K5">
        <v>2.2230000000000001E-3</v>
      </c>
      <c r="L5">
        <v>9.7993539999999992</v>
      </c>
      <c r="M5">
        <v>5.6959999999999997E-3</v>
      </c>
      <c r="N5">
        <v>37.938460999999997</v>
      </c>
      <c r="P5" t="s">
        <v>2</v>
      </c>
      <c r="R5" t="s">
        <v>2</v>
      </c>
    </row>
    <row r="6" spans="2:18" x14ac:dyDescent="0.2">
      <c r="B6">
        <v>19</v>
      </c>
      <c r="C6" t="s">
        <v>62</v>
      </c>
      <c r="D6">
        <v>3.1319999999999998E-3</v>
      </c>
      <c r="E6">
        <v>1.312E-3</v>
      </c>
      <c r="F6">
        <v>111</v>
      </c>
      <c r="G6">
        <v>4.4759999999999999E-3</v>
      </c>
      <c r="H6">
        <v>2.2590000000000002E-3</v>
      </c>
      <c r="I6">
        <v>1.5393E-2</v>
      </c>
      <c r="J6">
        <v>4.9509999999999997E-3</v>
      </c>
      <c r="K6">
        <v>1.9070000000000001E-3</v>
      </c>
      <c r="L6">
        <v>1.4258949999999999</v>
      </c>
      <c r="M6">
        <v>4.1859999999999996E-3</v>
      </c>
      <c r="N6">
        <v>37.480429000000001</v>
      </c>
      <c r="P6" t="s">
        <v>62</v>
      </c>
      <c r="R6" t="s">
        <v>62</v>
      </c>
    </row>
    <row r="7" spans="2:18" x14ac:dyDescent="0.2">
      <c r="B7">
        <v>9</v>
      </c>
      <c r="C7" t="s">
        <v>69</v>
      </c>
      <c r="D7">
        <v>2.4239999999999999E-3</v>
      </c>
      <c r="E7">
        <v>1.3159999999999999E-3</v>
      </c>
      <c r="F7">
        <v>107</v>
      </c>
      <c r="G7">
        <v>5.7260000000000002E-3</v>
      </c>
      <c r="H7">
        <v>2.0609999999999999E-3</v>
      </c>
      <c r="I7">
        <v>1.2024999999999999E-2</v>
      </c>
      <c r="J7">
        <v>1.5679999999999999E-3</v>
      </c>
      <c r="K7">
        <v>1.098E-3</v>
      </c>
      <c r="L7">
        <v>0.82466099999999998</v>
      </c>
      <c r="M7">
        <v>3.2390000000000001E-3</v>
      </c>
      <c r="N7">
        <v>35.945562000000002</v>
      </c>
      <c r="P7" t="s">
        <v>69</v>
      </c>
      <c r="R7" t="s">
        <v>69</v>
      </c>
    </row>
    <row r="8" spans="2:18" x14ac:dyDescent="0.2">
      <c r="B8">
        <v>21</v>
      </c>
      <c r="C8" t="s">
        <v>63</v>
      </c>
      <c r="D8">
        <v>1.523E-3</v>
      </c>
      <c r="E8">
        <v>1.147E-3</v>
      </c>
      <c r="F8">
        <v>99</v>
      </c>
      <c r="G8">
        <v>4.8970000000000003E-3</v>
      </c>
      <c r="H8">
        <v>1.854E-3</v>
      </c>
      <c r="I8">
        <v>1.2772E-2</v>
      </c>
      <c r="J8">
        <v>1.864E-3</v>
      </c>
      <c r="K8">
        <v>1.5640000000000001E-3</v>
      </c>
      <c r="L8">
        <v>2.3115230000000002</v>
      </c>
      <c r="M8">
        <v>2.761E-3</v>
      </c>
      <c r="N8">
        <v>33.774765000000002</v>
      </c>
      <c r="P8" t="s">
        <v>63</v>
      </c>
      <c r="R8" t="s">
        <v>63</v>
      </c>
    </row>
    <row r="9" spans="2:18" x14ac:dyDescent="0.2">
      <c r="B9">
        <v>41</v>
      </c>
      <c r="C9" t="s">
        <v>31</v>
      </c>
      <c r="D9">
        <v>1.5460000000000001E-3</v>
      </c>
      <c r="E9">
        <v>1.073E-3</v>
      </c>
      <c r="F9">
        <v>86</v>
      </c>
      <c r="G9">
        <v>7.1199999999999996E-4</v>
      </c>
      <c r="H9">
        <v>1.403E-3</v>
      </c>
      <c r="I9">
        <v>1.5568E-2</v>
      </c>
      <c r="J9">
        <v>2.885E-3</v>
      </c>
      <c r="K9">
        <v>1.209E-3</v>
      </c>
      <c r="L9">
        <v>7.5076559999999999</v>
      </c>
      <c r="M9">
        <v>1.714E-3</v>
      </c>
      <c r="N9">
        <v>31.174408</v>
      </c>
      <c r="P9" t="s">
        <v>31</v>
      </c>
      <c r="R9" t="s">
        <v>31</v>
      </c>
    </row>
    <row r="10" spans="2:18" x14ac:dyDescent="0.2">
      <c r="B10">
        <v>34</v>
      </c>
      <c r="C10" t="s">
        <v>29</v>
      </c>
      <c r="D10">
        <v>5.1999999999999995E-4</v>
      </c>
      <c r="E10">
        <v>1.003E-3</v>
      </c>
      <c r="F10">
        <v>91</v>
      </c>
      <c r="G10">
        <v>8.3599999999999994E-3</v>
      </c>
      <c r="H10">
        <v>2.2829999999999999E-3</v>
      </c>
      <c r="I10">
        <v>1.2260999999999999E-2</v>
      </c>
      <c r="J10">
        <v>4.8570000000000002E-3</v>
      </c>
      <c r="K10">
        <v>1.9959999999999999E-3</v>
      </c>
      <c r="L10">
        <v>1.492802</v>
      </c>
      <c r="M10">
        <v>4.5789999999999997E-3</v>
      </c>
      <c r="N10">
        <v>30.835021000000001</v>
      </c>
      <c r="P10" t="s">
        <v>29</v>
      </c>
    </row>
    <row r="11" spans="2:18" x14ac:dyDescent="0.2">
      <c r="B11">
        <v>8</v>
      </c>
      <c r="C11" t="s">
        <v>64</v>
      </c>
      <c r="D11">
        <v>-6.4999999999999997E-4</v>
      </c>
      <c r="E11">
        <v>1.145E-3</v>
      </c>
      <c r="F11">
        <v>91</v>
      </c>
      <c r="G11">
        <v>1.237E-3</v>
      </c>
      <c r="H11">
        <v>1.5330000000000001E-3</v>
      </c>
      <c r="I11">
        <v>1.2187E-2</v>
      </c>
      <c r="J11">
        <v>-1.6620000000000001E-3</v>
      </c>
      <c r="K11">
        <v>1.023E-3</v>
      </c>
      <c r="L11">
        <v>1.154326</v>
      </c>
      <c r="M11">
        <v>-3.5799999999999997E-4</v>
      </c>
      <c r="N11">
        <v>30.722170999999999</v>
      </c>
      <c r="P11" t="s">
        <v>64</v>
      </c>
      <c r="R11" t="s">
        <v>64</v>
      </c>
    </row>
    <row r="12" spans="2:18" x14ac:dyDescent="0.2">
      <c r="B12">
        <v>31</v>
      </c>
      <c r="C12" t="s">
        <v>65</v>
      </c>
      <c r="D12">
        <v>1.0039999999999999E-3</v>
      </c>
      <c r="E12">
        <v>9.7799999999999992E-4</v>
      </c>
      <c r="F12">
        <v>90</v>
      </c>
      <c r="G12">
        <v>2.3700000000000001E-3</v>
      </c>
      <c r="H12">
        <v>1.3110000000000001E-3</v>
      </c>
      <c r="I12">
        <v>1.1821E-2</v>
      </c>
      <c r="J12">
        <v>-9.8999999999999994E-5</v>
      </c>
      <c r="K12">
        <v>1.024E-3</v>
      </c>
      <c r="L12">
        <v>0.622942</v>
      </c>
      <c r="M12">
        <v>1.0920000000000001E-3</v>
      </c>
      <c r="N12">
        <v>30.211587999999999</v>
      </c>
      <c r="P12" t="s">
        <v>65</v>
      </c>
      <c r="R12" t="s">
        <v>65</v>
      </c>
    </row>
    <row r="13" spans="2:18" x14ac:dyDescent="0.2">
      <c r="B13">
        <v>22</v>
      </c>
      <c r="C13" t="s">
        <v>70</v>
      </c>
      <c r="D13">
        <v>2.5360000000000001E-3</v>
      </c>
      <c r="E13">
        <v>9.0300000000000005E-4</v>
      </c>
      <c r="F13">
        <v>88</v>
      </c>
      <c r="G13">
        <v>2.6389999999999999E-3</v>
      </c>
      <c r="H13">
        <v>1.3079999999999999E-3</v>
      </c>
      <c r="I13">
        <v>1.3053E-2</v>
      </c>
      <c r="J13">
        <v>-1.2769999999999999E-3</v>
      </c>
      <c r="K13">
        <v>1.2210000000000001E-3</v>
      </c>
      <c r="L13">
        <v>1.4738880000000001</v>
      </c>
      <c r="M13">
        <v>1.299E-3</v>
      </c>
      <c r="N13">
        <v>29.828980000000001</v>
      </c>
      <c r="P13" t="s">
        <v>70</v>
      </c>
      <c r="R13" t="s">
        <v>70</v>
      </c>
    </row>
    <row r="14" spans="2:18" x14ac:dyDescent="0.2">
      <c r="B14">
        <v>25</v>
      </c>
      <c r="C14" t="s">
        <v>123</v>
      </c>
      <c r="D14">
        <v>2.8900000000000002E-3</v>
      </c>
      <c r="E14">
        <v>1.1349999999999999E-3</v>
      </c>
      <c r="F14">
        <v>87</v>
      </c>
      <c r="G14">
        <v>-1.4339999999999999E-3</v>
      </c>
      <c r="H14">
        <v>2.1129999999999999E-3</v>
      </c>
      <c r="I14">
        <v>1.3213000000000001E-2</v>
      </c>
      <c r="J14">
        <v>-9.0000000000000002E-6</v>
      </c>
      <c r="K14">
        <v>1.0269999999999999E-3</v>
      </c>
      <c r="L14">
        <v>1.1599699999999999</v>
      </c>
      <c r="M14">
        <v>4.8200000000000001E-4</v>
      </c>
      <c r="N14">
        <v>29.391061000000001</v>
      </c>
      <c r="P14" t="s">
        <v>123</v>
      </c>
    </row>
    <row r="15" spans="2:18" x14ac:dyDescent="0.2">
      <c r="B15">
        <v>35</v>
      </c>
      <c r="C15" t="s">
        <v>0</v>
      </c>
      <c r="D15">
        <v>2.9970000000000001E-3</v>
      </c>
      <c r="E15">
        <v>1.1150000000000001E-3</v>
      </c>
      <c r="F15">
        <v>79</v>
      </c>
      <c r="G15">
        <v>3.5620000000000001E-3</v>
      </c>
      <c r="H15">
        <v>1.7340000000000001E-3</v>
      </c>
      <c r="I15">
        <v>1.6205000000000001E-2</v>
      </c>
      <c r="J15">
        <v>5.9500000000000004E-3</v>
      </c>
      <c r="K15">
        <v>1.934E-3</v>
      </c>
      <c r="L15">
        <v>7.5525880000000001</v>
      </c>
      <c r="M15">
        <v>4.1700000000000001E-3</v>
      </c>
      <c r="N15">
        <v>28.856263999999999</v>
      </c>
      <c r="P15" t="s">
        <v>0</v>
      </c>
      <c r="R15" t="s">
        <v>0</v>
      </c>
    </row>
    <row r="16" spans="2:18" x14ac:dyDescent="0.2">
      <c r="B16">
        <v>38</v>
      </c>
      <c r="C16" t="s">
        <v>120</v>
      </c>
      <c r="D16">
        <v>5.9999999999999995E-4</v>
      </c>
      <c r="E16">
        <v>8.0800000000000002E-4</v>
      </c>
      <c r="F16">
        <v>84</v>
      </c>
      <c r="G16">
        <v>3.1719999999999999E-3</v>
      </c>
      <c r="H16">
        <v>1.5969999999999999E-3</v>
      </c>
      <c r="I16">
        <v>1.2775999999999999E-2</v>
      </c>
      <c r="J16">
        <v>-8.5000000000000006E-5</v>
      </c>
      <c r="K16">
        <v>1.312E-3</v>
      </c>
      <c r="L16">
        <v>1.8529949999999999</v>
      </c>
      <c r="M16">
        <v>1.2290000000000001E-3</v>
      </c>
      <c r="N16">
        <v>28.621924</v>
      </c>
      <c r="P16" t="s">
        <v>120</v>
      </c>
      <c r="R16" t="s">
        <v>120</v>
      </c>
    </row>
    <row r="17" spans="2:18" x14ac:dyDescent="0.2">
      <c r="B17">
        <v>23</v>
      </c>
      <c r="C17" t="s">
        <v>68</v>
      </c>
      <c r="D17">
        <v>4.57E-4</v>
      </c>
      <c r="E17">
        <v>7.8299999999999995E-4</v>
      </c>
      <c r="F17">
        <v>84</v>
      </c>
      <c r="G17">
        <v>2.4870000000000001E-3</v>
      </c>
      <c r="H17">
        <v>1.56E-3</v>
      </c>
      <c r="I17">
        <v>1.2909E-2</v>
      </c>
      <c r="J17">
        <v>-1.2719999999999999E-3</v>
      </c>
      <c r="K17">
        <v>1.4909999999999999E-3</v>
      </c>
      <c r="L17">
        <v>1.154825</v>
      </c>
      <c r="M17">
        <v>5.5699999999999999E-4</v>
      </c>
      <c r="N17">
        <v>28.389244999999999</v>
      </c>
      <c r="P17" t="s">
        <v>68</v>
      </c>
      <c r="R17" t="s">
        <v>68</v>
      </c>
    </row>
    <row r="18" spans="2:18" x14ac:dyDescent="0.2">
      <c r="B18">
        <v>30</v>
      </c>
      <c r="C18" t="s">
        <v>66</v>
      </c>
      <c r="D18">
        <v>5.3999999999999998E-5</v>
      </c>
      <c r="E18">
        <v>1.224E-3</v>
      </c>
      <c r="F18">
        <v>83</v>
      </c>
      <c r="G18">
        <v>2.6840000000000002E-3</v>
      </c>
      <c r="H18">
        <v>1.2110000000000001E-3</v>
      </c>
      <c r="I18">
        <v>1.1235999999999999E-2</v>
      </c>
      <c r="J18">
        <v>-3.0899999999999998E-4</v>
      </c>
      <c r="K18">
        <v>1.0549999999999999E-3</v>
      </c>
      <c r="L18">
        <v>0.94364300000000001</v>
      </c>
      <c r="M18">
        <v>8.0900000000000004E-4</v>
      </c>
      <c r="N18">
        <v>27.984960000000001</v>
      </c>
      <c r="P18" t="s">
        <v>66</v>
      </c>
      <c r="R18" t="s">
        <v>66</v>
      </c>
    </row>
    <row r="19" spans="2:18" x14ac:dyDescent="0.2">
      <c r="B19">
        <v>27</v>
      </c>
      <c r="C19" t="s">
        <v>74</v>
      </c>
      <c r="D19">
        <v>1.0300000000000001E-3</v>
      </c>
      <c r="E19">
        <v>9.9200000000000004E-4</v>
      </c>
      <c r="F19">
        <v>80</v>
      </c>
      <c r="G19">
        <v>5.1209999999999997E-3</v>
      </c>
      <c r="H19">
        <v>1.6019999999999999E-3</v>
      </c>
      <c r="I19">
        <v>1.2866000000000001E-2</v>
      </c>
      <c r="J19">
        <v>-1.34E-4</v>
      </c>
      <c r="K19">
        <v>1.1169999999999999E-3</v>
      </c>
      <c r="L19">
        <v>0.96347700000000003</v>
      </c>
      <c r="M19">
        <v>2.006E-3</v>
      </c>
      <c r="N19">
        <v>26.992114000000001</v>
      </c>
      <c r="P19" t="s">
        <v>74</v>
      </c>
    </row>
    <row r="20" spans="2:18" x14ac:dyDescent="0.2">
      <c r="B20">
        <v>33</v>
      </c>
      <c r="C20" t="s">
        <v>124</v>
      </c>
      <c r="D20">
        <v>3.9399999999999998E-4</v>
      </c>
      <c r="E20">
        <v>9.6400000000000001E-4</v>
      </c>
      <c r="F20">
        <v>80</v>
      </c>
      <c r="G20">
        <v>2.6570000000000001E-3</v>
      </c>
      <c r="H20">
        <v>1.5200000000000001E-3</v>
      </c>
      <c r="I20">
        <v>1.2451E-2</v>
      </c>
      <c r="J20">
        <v>9.2299999999999999E-4</v>
      </c>
      <c r="K20">
        <v>1.4599999999999999E-3</v>
      </c>
      <c r="L20">
        <v>0.855105</v>
      </c>
      <c r="M20">
        <v>1.325E-3</v>
      </c>
      <c r="N20">
        <v>26.955852</v>
      </c>
      <c r="P20" t="s">
        <v>124</v>
      </c>
      <c r="R20" t="s">
        <v>124</v>
      </c>
    </row>
    <row r="21" spans="2:18" x14ac:dyDescent="0.2">
      <c r="B21">
        <v>29</v>
      </c>
      <c r="C21" t="s">
        <v>125</v>
      </c>
      <c r="D21">
        <v>1.6490000000000001E-3</v>
      </c>
      <c r="E21">
        <v>8.4999999999999995E-4</v>
      </c>
      <c r="F21">
        <v>80</v>
      </c>
      <c r="G21">
        <v>2.6970000000000002E-3</v>
      </c>
      <c r="H21">
        <v>1.6980000000000001E-3</v>
      </c>
      <c r="I21">
        <v>1.2970000000000001E-2</v>
      </c>
      <c r="J21">
        <v>-1.9699999999999999E-4</v>
      </c>
      <c r="K21">
        <v>8.2100000000000001E-4</v>
      </c>
      <c r="L21">
        <v>0.73213499999999998</v>
      </c>
      <c r="M21">
        <v>1.3829999999999999E-3</v>
      </c>
      <c r="N21">
        <v>26.915035</v>
      </c>
      <c r="P21" t="s">
        <v>125</v>
      </c>
      <c r="R21" t="s">
        <v>125</v>
      </c>
    </row>
    <row r="22" spans="2:18" x14ac:dyDescent="0.2">
      <c r="B22">
        <v>18</v>
      </c>
      <c r="C22" t="s">
        <v>67</v>
      </c>
      <c r="D22">
        <v>2.9599999999999998E-4</v>
      </c>
      <c r="E22">
        <v>7.5699999999999997E-4</v>
      </c>
      <c r="F22">
        <v>79</v>
      </c>
      <c r="G22">
        <v>5.3810000000000004E-3</v>
      </c>
      <c r="H22">
        <v>1.3110000000000001E-3</v>
      </c>
      <c r="I22">
        <v>1.2924E-2</v>
      </c>
      <c r="J22">
        <v>3.0820000000000001E-3</v>
      </c>
      <c r="K22">
        <v>1.33E-3</v>
      </c>
      <c r="L22">
        <v>0.83455000000000001</v>
      </c>
      <c r="M22">
        <v>2.9199999999999999E-3</v>
      </c>
      <c r="N22">
        <v>26.615825000000001</v>
      </c>
      <c r="P22" t="s">
        <v>67</v>
      </c>
      <c r="R22" t="s">
        <v>67</v>
      </c>
    </row>
    <row r="23" spans="2:18" x14ac:dyDescent="0.2">
      <c r="B23">
        <v>12</v>
      </c>
      <c r="C23" t="s">
        <v>72</v>
      </c>
      <c r="D23">
        <v>3.862E-3</v>
      </c>
      <c r="E23">
        <v>1.029E-3</v>
      </c>
      <c r="F23">
        <v>74</v>
      </c>
      <c r="G23">
        <v>1.931E-3</v>
      </c>
      <c r="H23">
        <v>1.2279999999999999E-3</v>
      </c>
      <c r="I23">
        <v>1.3121000000000001E-2</v>
      </c>
      <c r="J23">
        <v>3.754E-3</v>
      </c>
      <c r="K23">
        <v>1.6570000000000001E-3</v>
      </c>
      <c r="L23">
        <v>1.864886</v>
      </c>
      <c r="M23">
        <v>3.1819999999999999E-3</v>
      </c>
      <c r="N23">
        <v>25.292669</v>
      </c>
      <c r="P23" t="s">
        <v>72</v>
      </c>
      <c r="R23" t="s">
        <v>72</v>
      </c>
    </row>
    <row r="24" spans="2:18" x14ac:dyDescent="0.2">
      <c r="B24">
        <v>1</v>
      </c>
      <c r="C24" t="s">
        <v>76</v>
      </c>
      <c r="D24">
        <v>3.2299999999999999E-4</v>
      </c>
      <c r="E24">
        <v>1.415E-3</v>
      </c>
      <c r="F24">
        <v>74</v>
      </c>
      <c r="G24">
        <v>2.1510000000000001E-3</v>
      </c>
      <c r="H24">
        <v>1.456E-3</v>
      </c>
      <c r="I24">
        <v>1.3859E-2</v>
      </c>
      <c r="J24">
        <v>-2.9999999999999997E-4</v>
      </c>
      <c r="K24">
        <v>1.482E-3</v>
      </c>
      <c r="L24">
        <v>0.95968600000000004</v>
      </c>
      <c r="M24">
        <v>7.2400000000000003E-4</v>
      </c>
      <c r="N24">
        <v>24.991181999999998</v>
      </c>
    </row>
    <row r="25" spans="2:18" x14ac:dyDescent="0.2">
      <c r="B25">
        <v>37</v>
      </c>
      <c r="C25" t="s">
        <v>121</v>
      </c>
      <c r="D25">
        <v>-7.5299999999999998E-4</v>
      </c>
      <c r="E25">
        <v>8.1899999999999996E-4</v>
      </c>
      <c r="F25">
        <v>74</v>
      </c>
      <c r="G25">
        <v>3.8080000000000002E-3</v>
      </c>
      <c r="H25">
        <v>1.6570000000000001E-3</v>
      </c>
      <c r="I25">
        <v>1.1233E-2</v>
      </c>
      <c r="J25">
        <v>-1.743E-3</v>
      </c>
      <c r="K25">
        <v>1.4369999999999999E-3</v>
      </c>
      <c r="L25">
        <v>0.86314299999999999</v>
      </c>
      <c r="M25">
        <v>4.3800000000000002E-4</v>
      </c>
      <c r="N25">
        <v>24.958126</v>
      </c>
      <c r="Q25" t="s">
        <v>85</v>
      </c>
    </row>
    <row r="26" spans="2:18" x14ac:dyDescent="0.2">
      <c r="B26">
        <v>32</v>
      </c>
      <c r="C26" t="s">
        <v>71</v>
      </c>
      <c r="D26">
        <v>9.2699999999999998E-4</v>
      </c>
      <c r="E26">
        <v>8.5099999999999998E-4</v>
      </c>
      <c r="F26">
        <v>66</v>
      </c>
      <c r="G26">
        <v>5.914E-3</v>
      </c>
      <c r="H26">
        <v>1.83E-3</v>
      </c>
      <c r="I26">
        <v>1.2177E-2</v>
      </c>
      <c r="J26">
        <v>7.1699999999999997E-4</v>
      </c>
      <c r="K26">
        <v>1.23E-3</v>
      </c>
      <c r="L26">
        <v>0.70179000000000002</v>
      </c>
      <c r="M26">
        <v>2.519E-3</v>
      </c>
      <c r="N26">
        <v>22.237988999999999</v>
      </c>
      <c r="Q26" t="s">
        <v>75</v>
      </c>
    </row>
    <row r="27" spans="2:18" x14ac:dyDescent="0.2">
      <c r="B27">
        <v>26</v>
      </c>
      <c r="C27" t="s">
        <v>73</v>
      </c>
      <c r="D27">
        <v>1.438E-3</v>
      </c>
      <c r="E27">
        <v>1.01E-3</v>
      </c>
      <c r="F27">
        <v>65</v>
      </c>
      <c r="G27">
        <v>1.9220000000000001E-3</v>
      </c>
      <c r="H27">
        <v>1.833E-3</v>
      </c>
      <c r="I27">
        <v>1.3492000000000001E-2</v>
      </c>
      <c r="J27">
        <v>-1.8320000000000001E-3</v>
      </c>
      <c r="K27">
        <v>1.3849999999999999E-3</v>
      </c>
      <c r="L27">
        <v>1.120004</v>
      </c>
      <c r="M27">
        <v>5.0900000000000001E-4</v>
      </c>
      <c r="N27">
        <v>22.044498999999998</v>
      </c>
      <c r="Q27" t="s">
        <v>84</v>
      </c>
    </row>
    <row r="28" spans="2:18" x14ac:dyDescent="0.2">
      <c r="B28">
        <v>2</v>
      </c>
      <c r="C28" t="s">
        <v>78</v>
      </c>
      <c r="D28">
        <v>7.5299999999999998E-4</v>
      </c>
      <c r="E28">
        <v>6.5799999999999995E-4</v>
      </c>
      <c r="F28">
        <v>65</v>
      </c>
      <c r="G28">
        <v>7.4799999999999997E-4</v>
      </c>
      <c r="H28">
        <v>1.256E-3</v>
      </c>
      <c r="I28">
        <v>1.1302E-2</v>
      </c>
      <c r="J28">
        <v>-6.9399999999999996E-4</v>
      </c>
      <c r="K28">
        <v>9.0600000000000001E-4</v>
      </c>
      <c r="L28">
        <v>0.78049299999999999</v>
      </c>
      <c r="M28">
        <v>2.6899999999999998E-4</v>
      </c>
      <c r="N28">
        <v>21.930598</v>
      </c>
    </row>
    <row r="29" spans="2:18" x14ac:dyDescent="0.2">
      <c r="B29">
        <v>28</v>
      </c>
      <c r="C29" t="s">
        <v>77</v>
      </c>
      <c r="D29">
        <v>2.2800000000000001E-4</v>
      </c>
      <c r="E29">
        <v>7.9900000000000001E-4</v>
      </c>
      <c r="F29">
        <v>65</v>
      </c>
      <c r="G29">
        <v>2.4729999999999999E-3</v>
      </c>
      <c r="H29">
        <v>1.56E-3</v>
      </c>
      <c r="I29">
        <v>1.2520999999999999E-2</v>
      </c>
      <c r="J29">
        <v>-5.3300000000000005E-4</v>
      </c>
      <c r="K29">
        <v>8.6700000000000004E-4</v>
      </c>
      <c r="L29">
        <v>0.58579999999999999</v>
      </c>
      <c r="M29">
        <v>7.2300000000000001E-4</v>
      </c>
      <c r="N29">
        <v>21.866107</v>
      </c>
    </row>
    <row r="30" spans="2:18" x14ac:dyDescent="0.2">
      <c r="B30">
        <v>42</v>
      </c>
      <c r="C30" t="s">
        <v>32</v>
      </c>
      <c r="D30">
        <v>3.0599999999999998E-3</v>
      </c>
      <c r="E30">
        <v>1.0150000000000001E-3</v>
      </c>
      <c r="F30">
        <v>63</v>
      </c>
      <c r="G30">
        <v>5.1390000000000003E-3</v>
      </c>
      <c r="H30">
        <v>1.498E-3</v>
      </c>
      <c r="I30">
        <v>1.1949E-2</v>
      </c>
      <c r="J30">
        <v>1.407E-3</v>
      </c>
      <c r="K30">
        <v>1.6949999999999999E-3</v>
      </c>
      <c r="L30">
        <v>1.806279</v>
      </c>
      <c r="M30">
        <v>3.202E-3</v>
      </c>
      <c r="N30">
        <v>21.606076000000002</v>
      </c>
    </row>
    <row r="31" spans="2:18" x14ac:dyDescent="0.2">
      <c r="B31">
        <v>39</v>
      </c>
      <c r="C31" t="s">
        <v>126</v>
      </c>
      <c r="D31">
        <v>2.039E-3</v>
      </c>
      <c r="E31">
        <v>7.0399999999999998E-4</v>
      </c>
      <c r="F31">
        <v>55</v>
      </c>
      <c r="G31">
        <v>4.019E-3</v>
      </c>
      <c r="H31">
        <v>1.305E-3</v>
      </c>
      <c r="I31">
        <v>1.5251000000000001E-2</v>
      </c>
      <c r="J31">
        <v>-5.0600000000000005E-4</v>
      </c>
      <c r="K31">
        <v>1.4040000000000001E-3</v>
      </c>
      <c r="L31">
        <v>5.5550680000000003</v>
      </c>
      <c r="M31">
        <v>1.8500000000000001E-3</v>
      </c>
      <c r="N31">
        <v>20.190107000000001</v>
      </c>
    </row>
    <row r="32" spans="2:18" x14ac:dyDescent="0.2">
      <c r="B32">
        <v>13</v>
      </c>
      <c r="C32" t="s">
        <v>75</v>
      </c>
      <c r="D32">
        <v>-5.2899999999999996E-4</v>
      </c>
      <c r="E32">
        <v>9.5299999999999996E-4</v>
      </c>
      <c r="F32">
        <v>56</v>
      </c>
      <c r="G32">
        <v>9.8999999999999994E-5</v>
      </c>
      <c r="H32">
        <v>1.8339999999999999E-3</v>
      </c>
      <c r="I32">
        <v>1.2128E-2</v>
      </c>
      <c r="J32">
        <v>-1.9040000000000001E-3</v>
      </c>
      <c r="K32">
        <v>9.3000000000000005E-4</v>
      </c>
      <c r="L32">
        <v>0.63481600000000005</v>
      </c>
      <c r="M32">
        <v>-7.7800000000000005E-4</v>
      </c>
      <c r="N32">
        <v>18.882314999999998</v>
      </c>
    </row>
    <row r="33" spans="2:14" x14ac:dyDescent="0.2">
      <c r="B33">
        <v>14</v>
      </c>
      <c r="C33" t="s">
        <v>81</v>
      </c>
      <c r="D33">
        <v>1.6490000000000001E-3</v>
      </c>
      <c r="E33">
        <v>1.2049999999999999E-3</v>
      </c>
      <c r="F33">
        <v>49</v>
      </c>
      <c r="G33">
        <v>5.8200000000000005E-4</v>
      </c>
      <c r="H33">
        <v>1.691E-3</v>
      </c>
      <c r="I33">
        <v>1.2088E-2</v>
      </c>
      <c r="J33">
        <v>-2.3389999999999999E-3</v>
      </c>
      <c r="K33">
        <v>1.5560000000000001E-3</v>
      </c>
      <c r="L33">
        <v>0.724221</v>
      </c>
      <c r="M33">
        <v>-3.6000000000000001E-5</v>
      </c>
      <c r="N33">
        <v>16.578769999999999</v>
      </c>
    </row>
    <row r="34" spans="2:14" x14ac:dyDescent="0.2">
      <c r="B34">
        <v>3</v>
      </c>
      <c r="C34" t="s">
        <v>127</v>
      </c>
      <c r="D34">
        <v>5.6499999999999996E-4</v>
      </c>
      <c r="E34">
        <v>1.3630000000000001E-3</v>
      </c>
      <c r="F34">
        <v>48</v>
      </c>
      <c r="G34">
        <v>3.8499999999999998E-4</v>
      </c>
      <c r="H34">
        <v>1.3749999999999999E-3</v>
      </c>
      <c r="I34">
        <v>1.0479E-2</v>
      </c>
      <c r="J34">
        <v>4.8799999999999999E-4</v>
      </c>
      <c r="K34">
        <v>9.8900000000000008E-4</v>
      </c>
      <c r="L34">
        <v>0.27041300000000001</v>
      </c>
      <c r="M34">
        <v>4.7899999999999999E-4</v>
      </c>
      <c r="N34">
        <v>16.093630999999998</v>
      </c>
    </row>
    <row r="35" spans="2:14" x14ac:dyDescent="0.2">
      <c r="B35">
        <v>16</v>
      </c>
      <c r="C35" t="s">
        <v>83</v>
      </c>
      <c r="D35">
        <v>2.2130000000000001E-3</v>
      </c>
      <c r="E35">
        <v>9.9500000000000001E-4</v>
      </c>
      <c r="F35">
        <v>46</v>
      </c>
      <c r="G35">
        <v>4.4710000000000001E-3</v>
      </c>
      <c r="H35">
        <v>1.8370000000000001E-3</v>
      </c>
      <c r="I35">
        <v>1.3495E-2</v>
      </c>
      <c r="J35">
        <v>-4.5300000000000001E-4</v>
      </c>
      <c r="K35">
        <v>1.415E-3</v>
      </c>
      <c r="L35">
        <v>0.49295699999999998</v>
      </c>
      <c r="M35">
        <v>2.0769999999999999E-3</v>
      </c>
      <c r="N35">
        <v>15.502151</v>
      </c>
    </row>
    <row r="36" spans="2:14" x14ac:dyDescent="0.2">
      <c r="B36">
        <v>11</v>
      </c>
      <c r="C36" t="s">
        <v>82</v>
      </c>
      <c r="D36">
        <v>2.4780000000000002E-3</v>
      </c>
      <c r="E36">
        <v>1.075E-3</v>
      </c>
      <c r="F36">
        <v>45</v>
      </c>
      <c r="G36">
        <v>3.6779999999999998E-3</v>
      </c>
      <c r="H36">
        <v>1.9120000000000001E-3</v>
      </c>
      <c r="I36">
        <v>1.388E-2</v>
      </c>
      <c r="J36">
        <v>-9.0899999999999998E-4</v>
      </c>
      <c r="K36">
        <v>1.554E-3</v>
      </c>
      <c r="L36">
        <v>0.71635000000000004</v>
      </c>
      <c r="M36">
        <v>1.7489999999999999E-3</v>
      </c>
      <c r="N36">
        <v>15.243410000000001</v>
      </c>
    </row>
    <row r="37" spans="2:14" x14ac:dyDescent="0.2">
      <c r="B37">
        <v>15</v>
      </c>
      <c r="C37" t="s">
        <v>79</v>
      </c>
      <c r="D37">
        <v>3.5839999999999999E-3</v>
      </c>
      <c r="E37">
        <v>1.134E-3</v>
      </c>
      <c r="F37">
        <v>45</v>
      </c>
      <c r="G37">
        <v>3.0109999999999998E-3</v>
      </c>
      <c r="H37">
        <v>1.2639999999999999E-3</v>
      </c>
      <c r="I37">
        <v>1.4884E-2</v>
      </c>
      <c r="J37">
        <v>-7.1199999999999996E-4</v>
      </c>
      <c r="K37">
        <v>9.1600000000000004E-4</v>
      </c>
      <c r="L37">
        <v>0.630162</v>
      </c>
      <c r="M37">
        <v>1.9610000000000001E-3</v>
      </c>
      <c r="N37">
        <v>15.215016</v>
      </c>
    </row>
    <row r="38" spans="2:14" x14ac:dyDescent="0.2">
      <c r="B38">
        <v>24</v>
      </c>
      <c r="C38" t="s">
        <v>80</v>
      </c>
      <c r="D38">
        <v>4.4939999999999997E-3</v>
      </c>
      <c r="E38">
        <v>1.5679999999999999E-3</v>
      </c>
      <c r="F38">
        <v>43</v>
      </c>
      <c r="G38">
        <v>3.1000000000000001E-5</v>
      </c>
      <c r="H38">
        <v>1.704E-3</v>
      </c>
      <c r="I38">
        <v>1.3913999999999999E-2</v>
      </c>
      <c r="J38">
        <v>-1.6980000000000001E-3</v>
      </c>
      <c r="K38">
        <v>1.4120000000000001E-3</v>
      </c>
      <c r="L38">
        <v>0.75676200000000005</v>
      </c>
      <c r="M38">
        <v>9.4200000000000002E-4</v>
      </c>
      <c r="N38">
        <v>14.590225</v>
      </c>
    </row>
    <row r="39" spans="2:14" x14ac:dyDescent="0.2">
      <c r="B39">
        <v>10</v>
      </c>
      <c r="C39" t="s">
        <v>85</v>
      </c>
      <c r="D39">
        <v>1.0169999999999999E-3</v>
      </c>
      <c r="E39">
        <v>8.25E-4</v>
      </c>
      <c r="F39">
        <v>32</v>
      </c>
      <c r="G39">
        <v>3.4359999999999998E-3</v>
      </c>
      <c r="H39">
        <v>1.39E-3</v>
      </c>
      <c r="I39">
        <v>1.2133E-2</v>
      </c>
      <c r="J39">
        <v>-6.9899999999999997E-4</v>
      </c>
      <c r="K39">
        <v>1.4890000000000001E-3</v>
      </c>
      <c r="L39">
        <v>0.61897100000000005</v>
      </c>
      <c r="M39">
        <v>1.2509999999999999E-3</v>
      </c>
      <c r="N39">
        <v>10.877034999999999</v>
      </c>
    </row>
    <row r="40" spans="2:14" x14ac:dyDescent="0.2">
      <c r="B40">
        <v>17</v>
      </c>
      <c r="C40" t="s">
        <v>84</v>
      </c>
      <c r="D40">
        <v>1.1919999999999999E-3</v>
      </c>
      <c r="E40">
        <v>8.3600000000000005E-4</v>
      </c>
      <c r="F40">
        <v>30</v>
      </c>
      <c r="G40">
        <v>2.787E-3</v>
      </c>
      <c r="H40">
        <v>1.539E-3</v>
      </c>
      <c r="I40">
        <v>1.2142E-2</v>
      </c>
      <c r="J40">
        <v>1.286E-3</v>
      </c>
      <c r="K40">
        <v>1.333E-3</v>
      </c>
      <c r="L40">
        <v>0.56370299999999995</v>
      </c>
      <c r="M40">
        <v>1.755E-3</v>
      </c>
      <c r="N40">
        <v>10.191948</v>
      </c>
    </row>
    <row r="41" spans="2:14" x14ac:dyDescent="0.2">
      <c r="B41">
        <v>4</v>
      </c>
      <c r="C41" t="s">
        <v>128</v>
      </c>
      <c r="D41">
        <v>5.3999999999999998E-5</v>
      </c>
      <c r="E41">
        <v>4.3800000000000002E-4</v>
      </c>
      <c r="F41">
        <v>28</v>
      </c>
      <c r="G41">
        <v>5.9100000000000005E-4</v>
      </c>
      <c r="H41">
        <v>1.09E-3</v>
      </c>
      <c r="I41">
        <v>1.1903E-2</v>
      </c>
      <c r="J41">
        <v>-5.9100000000000005E-4</v>
      </c>
      <c r="K41">
        <v>6.8099999999999996E-4</v>
      </c>
      <c r="L41">
        <v>0.23558000000000001</v>
      </c>
      <c r="M41">
        <v>1.8E-5</v>
      </c>
      <c r="N41">
        <v>9.4158279999999994</v>
      </c>
    </row>
    <row r="42" spans="2:14" x14ac:dyDescent="0.2">
      <c r="B42">
        <v>5</v>
      </c>
      <c r="C42" t="s">
        <v>129</v>
      </c>
      <c r="D42">
        <v>1.5460000000000001E-3</v>
      </c>
      <c r="E42">
        <v>4.7600000000000002E-4</v>
      </c>
      <c r="F42">
        <v>22</v>
      </c>
      <c r="G42">
        <v>1.322E-3</v>
      </c>
      <c r="H42">
        <v>1.091E-3</v>
      </c>
      <c r="I42">
        <v>1.1009E-2</v>
      </c>
      <c r="J42">
        <v>-4.75E-4</v>
      </c>
      <c r="K42">
        <v>6.5899999999999997E-4</v>
      </c>
      <c r="L42">
        <v>0.24702499999999999</v>
      </c>
      <c r="M42">
        <v>7.9699999999999997E-4</v>
      </c>
      <c r="N42">
        <v>7.4193439999999997</v>
      </c>
    </row>
    <row r="43" spans="2:14" x14ac:dyDescent="0.2">
      <c r="B43">
        <v>0</v>
      </c>
      <c r="C43" t="s">
        <v>86</v>
      </c>
      <c r="D43">
        <v>-2.6400000000000002E-4</v>
      </c>
      <c r="E43">
        <v>6.6200000000000005E-4</v>
      </c>
      <c r="F43">
        <v>20</v>
      </c>
      <c r="G43">
        <v>8.7799999999999998E-4</v>
      </c>
      <c r="H43">
        <v>9.5E-4</v>
      </c>
      <c r="I43">
        <v>1.2012999999999999E-2</v>
      </c>
      <c r="J43">
        <v>-7.0799999999999997E-4</v>
      </c>
      <c r="K43">
        <v>6.7100000000000005E-4</v>
      </c>
      <c r="L43">
        <v>0.23310500000000001</v>
      </c>
      <c r="M43">
        <v>-3.1000000000000001E-5</v>
      </c>
      <c r="N43">
        <v>6.748373</v>
      </c>
    </row>
    <row r="44" spans="2:14" x14ac:dyDescent="0.2">
      <c r="B44">
        <v>7</v>
      </c>
      <c r="C44" t="s">
        <v>130</v>
      </c>
      <c r="D44">
        <v>5.2899999999999996E-4</v>
      </c>
      <c r="E44">
        <v>5.8699999999999996E-4</v>
      </c>
      <c r="F44">
        <v>15</v>
      </c>
      <c r="G44">
        <v>5.7799999999999995E-4</v>
      </c>
      <c r="H44">
        <v>1.0319999999999999E-3</v>
      </c>
      <c r="I44">
        <v>1.3790999999999999E-2</v>
      </c>
      <c r="J44">
        <v>8.1999999999999998E-4</v>
      </c>
      <c r="K44">
        <v>9.6400000000000001E-4</v>
      </c>
      <c r="L44">
        <v>0.298346</v>
      </c>
      <c r="M44">
        <v>6.4199999999999999E-4</v>
      </c>
      <c r="N44">
        <v>5.1040460000000003</v>
      </c>
    </row>
    <row r="45" spans="2:14" x14ac:dyDescent="0.2">
      <c r="B45">
        <v>6</v>
      </c>
      <c r="C45" t="s">
        <v>131</v>
      </c>
      <c r="D45">
        <v>5.6899999999999995E-4</v>
      </c>
      <c r="E45">
        <v>4.3899999999999999E-4</v>
      </c>
      <c r="F45">
        <v>14</v>
      </c>
      <c r="G45">
        <v>1.12E-4</v>
      </c>
      <c r="H45">
        <v>7.3099999999999999E-4</v>
      </c>
      <c r="I45">
        <v>1.5048000000000001E-2</v>
      </c>
      <c r="J45">
        <v>-7.7499999999999997E-4</v>
      </c>
      <c r="K45">
        <v>5.9199999999999997E-4</v>
      </c>
      <c r="L45">
        <v>0.28804999999999997</v>
      </c>
      <c r="M45">
        <v>-3.1000000000000001E-5</v>
      </c>
      <c r="N45">
        <v>4.7676990000000004</v>
      </c>
    </row>
    <row r="46" spans="2:14" x14ac:dyDescent="0.2">
      <c r="B46">
        <v>40</v>
      </c>
      <c r="C46" t="s">
        <v>122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1.438E-3</v>
      </c>
      <c r="K46">
        <v>1.039E-3</v>
      </c>
      <c r="L46">
        <v>5.0862059999999998</v>
      </c>
      <c r="M46">
        <v>4.7899999999999999E-4</v>
      </c>
      <c r="N46">
        <v>1.6954020000000001</v>
      </c>
    </row>
    <row r="47" spans="2:14" x14ac:dyDescent="0.2">
      <c r="G47" s="4"/>
    </row>
    <row r="48" spans="2:14" x14ac:dyDescent="0.2">
      <c r="G48" s="4"/>
    </row>
    <row r="49" spans="2:14" x14ac:dyDescent="0.2">
      <c r="B49" t="s">
        <v>89</v>
      </c>
      <c r="C49" t="s">
        <v>88</v>
      </c>
      <c r="D49" t="s">
        <v>60</v>
      </c>
      <c r="G49" s="4"/>
    </row>
    <row r="50" spans="2:14" x14ac:dyDescent="0.2">
      <c r="C50" t="s">
        <v>59</v>
      </c>
      <c r="D50" t="s">
        <v>101</v>
      </c>
      <c r="E50" t="s">
        <v>102</v>
      </c>
      <c r="F50" t="s">
        <v>103</v>
      </c>
      <c r="G50" s="4" t="s">
        <v>104</v>
      </c>
      <c r="H50" t="s">
        <v>105</v>
      </c>
      <c r="I50" t="s">
        <v>106</v>
      </c>
      <c r="J50" t="s">
        <v>107</v>
      </c>
      <c r="K50" t="s">
        <v>108</v>
      </c>
      <c r="L50" t="s">
        <v>109</v>
      </c>
      <c r="M50" t="s">
        <v>99</v>
      </c>
      <c r="N50" t="s">
        <v>100</v>
      </c>
    </row>
    <row r="51" spans="2:14" x14ac:dyDescent="0.2">
      <c r="B51">
        <v>19</v>
      </c>
      <c r="C51" t="s">
        <v>62</v>
      </c>
      <c r="D51">
        <v>4.5136999999999997E-2</v>
      </c>
      <c r="E51">
        <v>4.0400000000000002E-3</v>
      </c>
      <c r="F51">
        <v>204</v>
      </c>
      <c r="G51" s="4">
        <v>0.45138699999999998</v>
      </c>
      <c r="H51">
        <v>3.2638E-2</v>
      </c>
      <c r="I51">
        <v>3.7506999999999999E-2</v>
      </c>
      <c r="J51">
        <v>0.11884</v>
      </c>
      <c r="K51">
        <v>1.2351000000000001E-2</v>
      </c>
      <c r="L51">
        <v>5.0376709999999996</v>
      </c>
      <c r="M51">
        <v>0.205121</v>
      </c>
      <c r="N51">
        <v>69.691726000000003</v>
      </c>
    </row>
    <row r="52" spans="2:14" x14ac:dyDescent="0.2">
      <c r="B52">
        <v>20</v>
      </c>
      <c r="C52" t="s">
        <v>61</v>
      </c>
      <c r="D52">
        <v>0.34808699999999998</v>
      </c>
      <c r="E52">
        <v>1.2163E-2</v>
      </c>
      <c r="F52">
        <v>167</v>
      </c>
      <c r="G52" s="4">
        <v>0.97700699999999996</v>
      </c>
      <c r="H52">
        <v>2.7607E-2</v>
      </c>
      <c r="I52">
        <v>0.26571400000000001</v>
      </c>
      <c r="J52">
        <v>0.57356099999999999</v>
      </c>
      <c r="K52">
        <v>1.0395E-2</v>
      </c>
      <c r="L52">
        <v>10.718163000000001</v>
      </c>
      <c r="M52">
        <v>0.63288500000000003</v>
      </c>
      <c r="N52">
        <v>59.327959</v>
      </c>
    </row>
    <row r="53" spans="2:14" x14ac:dyDescent="0.2">
      <c r="B53">
        <v>21</v>
      </c>
      <c r="C53" t="s">
        <v>63</v>
      </c>
      <c r="D53">
        <v>1.3324000000000001E-2</v>
      </c>
      <c r="E53">
        <v>2.875E-3</v>
      </c>
      <c r="F53">
        <v>135</v>
      </c>
      <c r="G53" s="4">
        <v>0.117234</v>
      </c>
      <c r="H53">
        <v>1.3723000000000001E-2</v>
      </c>
      <c r="I53">
        <v>1.5365999999999999E-2</v>
      </c>
      <c r="J53">
        <v>2.6377000000000001E-2</v>
      </c>
      <c r="K53">
        <v>3.3340000000000002E-3</v>
      </c>
      <c r="L53">
        <v>1.2115370000000001</v>
      </c>
      <c r="M53">
        <v>5.2311999999999997E-2</v>
      </c>
      <c r="N53">
        <v>45.408968000000002</v>
      </c>
    </row>
    <row r="54" spans="2:14" x14ac:dyDescent="0.2">
      <c r="B54">
        <v>33</v>
      </c>
      <c r="C54" t="s">
        <v>124</v>
      </c>
      <c r="D54">
        <v>-4.5129999999999997E-3</v>
      </c>
      <c r="E54">
        <v>1.923E-3</v>
      </c>
      <c r="F54">
        <v>107</v>
      </c>
      <c r="G54" s="4">
        <v>0.117269</v>
      </c>
      <c r="H54">
        <v>9.4789999999999996E-3</v>
      </c>
      <c r="I54">
        <v>1.2428E-2</v>
      </c>
      <c r="J54">
        <v>9.6170000000000005E-3</v>
      </c>
      <c r="K54">
        <v>3.3830000000000002E-3</v>
      </c>
      <c r="L54">
        <v>2.007368</v>
      </c>
      <c r="M54">
        <v>4.0791000000000001E-2</v>
      </c>
      <c r="N54">
        <v>36.339931999999997</v>
      </c>
    </row>
    <row r="55" spans="2:14" x14ac:dyDescent="0.2">
      <c r="B55">
        <v>18</v>
      </c>
      <c r="C55" t="s">
        <v>67</v>
      </c>
      <c r="D55">
        <v>1.188E-2</v>
      </c>
      <c r="E55">
        <v>2.0539999999999998E-3</v>
      </c>
      <c r="F55">
        <v>106</v>
      </c>
      <c r="G55" s="4">
        <v>0.115777</v>
      </c>
      <c r="H55">
        <v>9.9469999999999992E-3</v>
      </c>
      <c r="I55">
        <v>1.9945999999999998E-2</v>
      </c>
      <c r="J55">
        <v>5.2803000000000003E-2</v>
      </c>
      <c r="K55">
        <v>7.522E-3</v>
      </c>
      <c r="L55">
        <v>1.580209</v>
      </c>
      <c r="M55">
        <v>6.0152999999999998E-2</v>
      </c>
      <c r="N55">
        <v>35.866717999999999</v>
      </c>
    </row>
    <row r="56" spans="2:14" x14ac:dyDescent="0.2">
      <c r="B56">
        <v>31</v>
      </c>
      <c r="C56" t="s">
        <v>65</v>
      </c>
      <c r="D56">
        <v>8.6189999999999999E-3</v>
      </c>
      <c r="E56">
        <v>1.8630000000000001E-3</v>
      </c>
      <c r="F56">
        <v>102</v>
      </c>
      <c r="G56" s="4">
        <v>3.1836000000000003E-2</v>
      </c>
      <c r="H56">
        <v>4.9319999999999998E-3</v>
      </c>
      <c r="I56">
        <v>1.095E-2</v>
      </c>
      <c r="J56">
        <v>6.4200000000000004E-3</v>
      </c>
      <c r="K56">
        <v>2.4369999999999999E-3</v>
      </c>
      <c r="L56">
        <v>1.960148</v>
      </c>
      <c r="M56">
        <v>1.5625E-2</v>
      </c>
      <c r="N56">
        <v>34.657032999999998</v>
      </c>
    </row>
    <row r="57" spans="2:14" x14ac:dyDescent="0.2">
      <c r="B57">
        <v>23</v>
      </c>
      <c r="C57" t="s">
        <v>68</v>
      </c>
      <c r="D57">
        <v>2.8670000000000002E-3</v>
      </c>
      <c r="E57">
        <v>9.9299999999999996E-4</v>
      </c>
      <c r="F57">
        <v>102</v>
      </c>
      <c r="G57" s="4">
        <v>-1.17E-4</v>
      </c>
      <c r="H57">
        <v>2.529E-3</v>
      </c>
      <c r="I57">
        <v>9.8420000000000001E-3</v>
      </c>
      <c r="J57">
        <v>3.9610000000000001E-3</v>
      </c>
      <c r="K57">
        <v>1.8090000000000001E-3</v>
      </c>
      <c r="L57">
        <v>1.749161</v>
      </c>
      <c r="M57">
        <v>2.2369999999999998E-3</v>
      </c>
      <c r="N57">
        <v>34.586334999999998</v>
      </c>
    </row>
    <row r="58" spans="2:14" x14ac:dyDescent="0.2">
      <c r="B58">
        <v>36</v>
      </c>
      <c r="C58" t="s">
        <v>2</v>
      </c>
      <c r="D58">
        <v>8.5213999999999998E-2</v>
      </c>
      <c r="E58">
        <v>4.9280000000000001E-3</v>
      </c>
      <c r="F58">
        <v>94</v>
      </c>
      <c r="G58" s="4">
        <v>0.86569300000000005</v>
      </c>
      <c r="H58">
        <v>1.4761E-2</v>
      </c>
      <c r="I58">
        <v>1.4567E-2</v>
      </c>
      <c r="J58">
        <v>0.170291</v>
      </c>
      <c r="K58">
        <v>6.3499999999999997E-3</v>
      </c>
      <c r="L58">
        <v>8.8952550000000006</v>
      </c>
      <c r="M58">
        <v>0.37373299999999998</v>
      </c>
      <c r="N58">
        <v>34.303274000000002</v>
      </c>
    </row>
    <row r="59" spans="2:14" x14ac:dyDescent="0.2">
      <c r="B59">
        <v>17</v>
      </c>
      <c r="C59" t="s">
        <v>84</v>
      </c>
      <c r="D59">
        <v>5.4350999999999997E-2</v>
      </c>
      <c r="E59">
        <v>5.2459999999999998E-3</v>
      </c>
      <c r="F59">
        <v>96</v>
      </c>
      <c r="G59" s="4">
        <v>0.44969300000000001</v>
      </c>
      <c r="H59">
        <v>2.0049999999999998E-2</v>
      </c>
      <c r="I59">
        <v>0.107761</v>
      </c>
      <c r="J59">
        <v>0.13001499999999999</v>
      </c>
      <c r="K59">
        <v>8.1089999999999999E-3</v>
      </c>
      <c r="L59">
        <v>2.8586580000000001</v>
      </c>
      <c r="M59">
        <v>0.21135300000000001</v>
      </c>
      <c r="N59">
        <v>32.988805999999997</v>
      </c>
    </row>
    <row r="60" spans="2:14" x14ac:dyDescent="0.2">
      <c r="B60">
        <v>29</v>
      </c>
      <c r="C60" t="s">
        <v>125</v>
      </c>
      <c r="D60">
        <v>8.4580000000000002E-3</v>
      </c>
      <c r="E60">
        <v>1.5560000000000001E-3</v>
      </c>
      <c r="F60">
        <v>96</v>
      </c>
      <c r="G60" s="4">
        <v>4.3998000000000002E-2</v>
      </c>
      <c r="H60">
        <v>6.4130000000000003E-3</v>
      </c>
      <c r="I60">
        <v>9.9000000000000008E-3</v>
      </c>
      <c r="J60">
        <v>2.9447000000000001E-2</v>
      </c>
      <c r="K60">
        <v>3.1580000000000002E-3</v>
      </c>
      <c r="L60">
        <v>1.5915570000000001</v>
      </c>
      <c r="M60">
        <v>2.7300999999999999E-2</v>
      </c>
      <c r="N60">
        <v>32.533819000000001</v>
      </c>
    </row>
    <row r="61" spans="2:14" x14ac:dyDescent="0.2">
      <c r="B61">
        <v>8</v>
      </c>
      <c r="C61" t="s">
        <v>64</v>
      </c>
      <c r="D61">
        <v>3.9659999999999999E-3</v>
      </c>
      <c r="E61">
        <v>1.3179999999999999E-3</v>
      </c>
      <c r="F61">
        <v>91</v>
      </c>
      <c r="G61" s="4">
        <v>1.3194000000000001E-2</v>
      </c>
      <c r="H61">
        <v>3.336E-3</v>
      </c>
      <c r="I61">
        <v>9.5860000000000008E-3</v>
      </c>
      <c r="J61">
        <v>9.1979999999999996E-3</v>
      </c>
      <c r="K61">
        <v>1.305E-3</v>
      </c>
      <c r="L61">
        <v>1.8606780000000001</v>
      </c>
      <c r="M61">
        <v>8.7860000000000004E-3</v>
      </c>
      <c r="N61">
        <v>30.956755000000001</v>
      </c>
    </row>
    <row r="62" spans="2:14" x14ac:dyDescent="0.2">
      <c r="B62">
        <v>22</v>
      </c>
      <c r="C62" t="s">
        <v>70</v>
      </c>
      <c r="D62">
        <v>4.692E-3</v>
      </c>
      <c r="E62">
        <v>1.8209999999999999E-3</v>
      </c>
      <c r="F62">
        <v>90</v>
      </c>
      <c r="G62" s="4">
        <v>2.8584999999999999E-2</v>
      </c>
      <c r="H62">
        <v>3.7429999999999998E-3</v>
      </c>
      <c r="I62">
        <v>8.1700000000000002E-3</v>
      </c>
      <c r="J62">
        <v>1.6586E-2</v>
      </c>
      <c r="K62">
        <v>3.2989999999999998E-3</v>
      </c>
      <c r="L62">
        <v>1.875243</v>
      </c>
      <c r="M62">
        <v>1.6621E-2</v>
      </c>
      <c r="N62">
        <v>30.627804000000001</v>
      </c>
    </row>
    <row r="63" spans="2:14" x14ac:dyDescent="0.2">
      <c r="B63">
        <v>13</v>
      </c>
      <c r="C63" t="s">
        <v>75</v>
      </c>
      <c r="D63">
        <v>2.1086000000000001E-2</v>
      </c>
      <c r="E63">
        <v>4.2940000000000001E-3</v>
      </c>
      <c r="F63">
        <v>84</v>
      </c>
      <c r="G63" s="4">
        <v>2.4819999999999998E-2</v>
      </c>
      <c r="H63">
        <v>5.9080000000000001E-3</v>
      </c>
      <c r="I63">
        <v>1.9796999999999999E-2</v>
      </c>
      <c r="J63">
        <v>-2.594E-3</v>
      </c>
      <c r="K63">
        <v>2.8909999999999999E-3</v>
      </c>
      <c r="L63">
        <v>1.7089639999999999</v>
      </c>
      <c r="M63">
        <v>1.4437E-2</v>
      </c>
      <c r="N63">
        <v>28.576253999999999</v>
      </c>
    </row>
    <row r="64" spans="2:14" x14ac:dyDescent="0.2">
      <c r="B64">
        <v>9</v>
      </c>
      <c r="C64" t="s">
        <v>69</v>
      </c>
      <c r="D64">
        <v>2.0149999999999999E-3</v>
      </c>
      <c r="E64">
        <v>1.225E-3</v>
      </c>
      <c r="F64">
        <v>80</v>
      </c>
      <c r="G64" s="4">
        <v>2.9427999999999999E-2</v>
      </c>
      <c r="H64">
        <v>4.1359999999999999E-3</v>
      </c>
      <c r="I64">
        <v>1.1002E-2</v>
      </c>
      <c r="J64">
        <v>1.3469999999999999E-2</v>
      </c>
      <c r="K64">
        <v>3.3609999999999998E-3</v>
      </c>
      <c r="L64">
        <v>1.2517229999999999</v>
      </c>
      <c r="M64">
        <v>1.4971E-2</v>
      </c>
      <c r="N64">
        <v>27.087575000000001</v>
      </c>
    </row>
    <row r="65" spans="2:14" x14ac:dyDescent="0.2">
      <c r="B65">
        <v>12</v>
      </c>
      <c r="C65" t="s">
        <v>72</v>
      </c>
      <c r="D65">
        <v>6.7834000000000005E-2</v>
      </c>
      <c r="E65">
        <v>4.8019999999999998E-3</v>
      </c>
      <c r="F65">
        <v>77</v>
      </c>
      <c r="G65" s="4">
        <v>0.47405599999999998</v>
      </c>
      <c r="H65">
        <v>1.3764E-2</v>
      </c>
      <c r="I65">
        <v>1.0422000000000001E-2</v>
      </c>
      <c r="J65">
        <v>0.34695100000000001</v>
      </c>
      <c r="K65">
        <v>1.3442000000000001E-2</v>
      </c>
      <c r="L65">
        <v>1.6142270000000001</v>
      </c>
      <c r="M65">
        <v>0.29627999999999999</v>
      </c>
      <c r="N65">
        <v>26.208216</v>
      </c>
    </row>
    <row r="66" spans="2:14" x14ac:dyDescent="0.2">
      <c r="B66">
        <v>30</v>
      </c>
      <c r="C66" t="s">
        <v>66</v>
      </c>
      <c r="D66">
        <v>9.4269999999999996E-3</v>
      </c>
      <c r="E66">
        <v>2.9329999999999998E-3</v>
      </c>
      <c r="F66">
        <v>77</v>
      </c>
      <c r="G66" s="4">
        <v>2.8802999999999999E-2</v>
      </c>
      <c r="H66">
        <v>6.1549999999999999E-3</v>
      </c>
      <c r="I66">
        <v>9.4230000000000008E-3</v>
      </c>
      <c r="J66">
        <v>1.6962999999999999E-2</v>
      </c>
      <c r="K66">
        <v>4.8630000000000001E-3</v>
      </c>
      <c r="L66">
        <v>1.5968309999999999</v>
      </c>
      <c r="M66">
        <v>1.8398000000000001E-2</v>
      </c>
      <c r="N66">
        <v>26.202085</v>
      </c>
    </row>
    <row r="67" spans="2:14" x14ac:dyDescent="0.2">
      <c r="B67">
        <v>10</v>
      </c>
      <c r="C67" t="s">
        <v>85</v>
      </c>
      <c r="D67">
        <v>1.4180999999999999E-2</v>
      </c>
      <c r="E67">
        <v>2.8159999999999999E-3</v>
      </c>
      <c r="F67">
        <v>74</v>
      </c>
      <c r="G67" s="4">
        <v>2.5593999999999999E-2</v>
      </c>
      <c r="H67">
        <v>5.6559999999999996E-3</v>
      </c>
      <c r="I67">
        <v>1.4225E-2</v>
      </c>
      <c r="J67">
        <v>-1.4580000000000001E-3</v>
      </c>
      <c r="K67">
        <v>3.2989999999999998E-3</v>
      </c>
      <c r="L67">
        <v>1.9665509999999999</v>
      </c>
      <c r="M67">
        <v>1.2772E-2</v>
      </c>
      <c r="N67">
        <v>25.326924999999999</v>
      </c>
    </row>
    <row r="68" spans="2:14" x14ac:dyDescent="0.2">
      <c r="B68">
        <v>35</v>
      </c>
      <c r="C68" t="s">
        <v>0</v>
      </c>
      <c r="D68">
        <v>0.167161</v>
      </c>
      <c r="E68">
        <v>6.5589999999999997E-3</v>
      </c>
      <c r="F68">
        <v>63</v>
      </c>
      <c r="G68" s="4">
        <v>0.16344600000000001</v>
      </c>
      <c r="H68">
        <v>8.4989999999999996E-3</v>
      </c>
      <c r="I68">
        <v>4.4852000000000003E-2</v>
      </c>
      <c r="J68">
        <v>0.120715</v>
      </c>
      <c r="K68">
        <v>7.2969999999999997E-3</v>
      </c>
      <c r="L68">
        <v>12.507146000000001</v>
      </c>
      <c r="M68">
        <v>0.15044099999999999</v>
      </c>
      <c r="N68">
        <v>25.183999</v>
      </c>
    </row>
    <row r="69" spans="2:14" x14ac:dyDescent="0.2">
      <c r="B69">
        <v>38</v>
      </c>
      <c r="C69" t="s">
        <v>120</v>
      </c>
      <c r="D69">
        <v>1.1949E-2</v>
      </c>
      <c r="E69">
        <v>2.0769999999999999E-3</v>
      </c>
      <c r="F69">
        <v>72</v>
      </c>
      <c r="G69" s="4">
        <v>0.13726099999999999</v>
      </c>
      <c r="H69">
        <v>5.705E-3</v>
      </c>
      <c r="I69">
        <v>1.0227E-2</v>
      </c>
      <c r="J69">
        <v>2.2419999999999999E-2</v>
      </c>
      <c r="K69">
        <v>2.9819999999999998E-3</v>
      </c>
      <c r="L69">
        <v>0.896146</v>
      </c>
      <c r="M69">
        <v>5.7209999999999997E-2</v>
      </c>
      <c r="N69">
        <v>24.302123999999999</v>
      </c>
    </row>
    <row r="70" spans="2:14" x14ac:dyDescent="0.2">
      <c r="B70">
        <v>41</v>
      </c>
      <c r="C70" t="s">
        <v>31</v>
      </c>
      <c r="D70">
        <v>1.1487000000000001E-2</v>
      </c>
      <c r="E70">
        <v>2.7989999999999998E-3</v>
      </c>
      <c r="F70">
        <v>62</v>
      </c>
      <c r="G70" s="4">
        <v>0.149425</v>
      </c>
      <c r="H70">
        <v>5.9959999999999996E-3</v>
      </c>
      <c r="I70">
        <v>1.7087000000000001E-2</v>
      </c>
      <c r="J70">
        <v>9.8264000000000004E-2</v>
      </c>
      <c r="K70">
        <v>6.0899999999999999E-3</v>
      </c>
      <c r="L70">
        <v>7.3981250000000003</v>
      </c>
      <c r="M70">
        <v>8.6391999999999997E-2</v>
      </c>
      <c r="N70">
        <v>23.138404000000001</v>
      </c>
    </row>
    <row r="71" spans="2:14" x14ac:dyDescent="0.2">
      <c r="B71">
        <v>1</v>
      </c>
      <c r="C71" t="s">
        <v>76</v>
      </c>
      <c r="D71">
        <v>8.7900000000000001E-4</v>
      </c>
      <c r="E71">
        <v>2.0890000000000001E-3</v>
      </c>
      <c r="F71">
        <v>64</v>
      </c>
      <c r="G71" s="4">
        <v>1.1624000000000001E-2</v>
      </c>
      <c r="H71">
        <v>4.6189999999999998E-3</v>
      </c>
      <c r="I71">
        <v>8.2100000000000003E-3</v>
      </c>
      <c r="J71">
        <v>5.5729999999999998E-3</v>
      </c>
      <c r="K71">
        <v>1.256E-3</v>
      </c>
      <c r="L71">
        <v>1.2800309999999999</v>
      </c>
      <c r="M71">
        <v>6.025E-3</v>
      </c>
      <c r="N71">
        <v>21.762747000000001</v>
      </c>
    </row>
    <row r="72" spans="2:14" x14ac:dyDescent="0.2">
      <c r="B72">
        <v>42</v>
      </c>
      <c r="C72" t="s">
        <v>32</v>
      </c>
      <c r="D72">
        <v>4.7112000000000001E-2</v>
      </c>
      <c r="E72">
        <v>4.4099999999999999E-3</v>
      </c>
      <c r="F72">
        <v>64</v>
      </c>
      <c r="G72" s="4">
        <v>0.82921299999999998</v>
      </c>
      <c r="H72">
        <v>2.179E-2</v>
      </c>
      <c r="I72">
        <v>1.558E-2</v>
      </c>
      <c r="J72">
        <v>0.30978699999999998</v>
      </c>
      <c r="K72">
        <v>1.0482E-2</v>
      </c>
      <c r="L72">
        <v>1.2358819999999999</v>
      </c>
      <c r="M72">
        <v>0.39537099999999997</v>
      </c>
      <c r="N72">
        <v>21.750488000000001</v>
      </c>
    </row>
    <row r="73" spans="2:14" x14ac:dyDescent="0.2">
      <c r="B73">
        <v>26</v>
      </c>
      <c r="C73" t="s">
        <v>73</v>
      </c>
      <c r="D73">
        <v>8.0280000000000004E-3</v>
      </c>
      <c r="E73">
        <v>1.245E-3</v>
      </c>
      <c r="F73">
        <v>64</v>
      </c>
      <c r="G73" s="4">
        <v>3.9417000000000001E-2</v>
      </c>
      <c r="H73">
        <v>8.3049999999999999E-3</v>
      </c>
      <c r="I73">
        <v>1.6721E-2</v>
      </c>
      <c r="J73">
        <v>1.8962E-2</v>
      </c>
      <c r="K73">
        <v>3.4949999999999998E-3</v>
      </c>
      <c r="L73">
        <v>1.15533</v>
      </c>
      <c r="M73">
        <v>2.2135999999999999E-2</v>
      </c>
      <c r="N73">
        <v>21.724017</v>
      </c>
    </row>
    <row r="74" spans="2:14" x14ac:dyDescent="0.2">
      <c r="B74">
        <v>11</v>
      </c>
      <c r="C74" t="s">
        <v>82</v>
      </c>
      <c r="D74">
        <v>8.5260000000000006E-3</v>
      </c>
      <c r="E74">
        <v>2.6189999999999998E-3</v>
      </c>
      <c r="F74">
        <v>62</v>
      </c>
      <c r="G74" s="4">
        <v>0.419404</v>
      </c>
      <c r="H74">
        <v>5.4406000000000003E-2</v>
      </c>
      <c r="I74">
        <v>5.4525999999999998E-2</v>
      </c>
      <c r="J74">
        <v>0.15885099999999999</v>
      </c>
      <c r="K74">
        <v>1.2808E-2</v>
      </c>
      <c r="L74">
        <v>2.329412</v>
      </c>
      <c r="M74">
        <v>0.19559399999999999</v>
      </c>
      <c r="N74">
        <v>21.461312</v>
      </c>
    </row>
    <row r="75" spans="2:14" x14ac:dyDescent="0.2">
      <c r="B75">
        <v>34</v>
      </c>
      <c r="C75" t="s">
        <v>29</v>
      </c>
      <c r="D75">
        <v>4.7749999999999997E-3</v>
      </c>
      <c r="E75">
        <v>1.212E-3</v>
      </c>
      <c r="F75">
        <v>61</v>
      </c>
      <c r="G75" s="4">
        <v>9.9732000000000001E-2</v>
      </c>
      <c r="H75">
        <v>6.4679999999999998E-3</v>
      </c>
      <c r="I75">
        <v>1.1209999999999999E-2</v>
      </c>
      <c r="J75">
        <v>7.2909999999999997E-3</v>
      </c>
      <c r="K75">
        <v>3.0990000000000002E-3</v>
      </c>
      <c r="L75">
        <v>1.261776</v>
      </c>
      <c r="M75">
        <v>3.7266000000000001E-2</v>
      </c>
      <c r="N75">
        <v>20.757662</v>
      </c>
    </row>
    <row r="76" spans="2:14" x14ac:dyDescent="0.2">
      <c r="B76">
        <v>32</v>
      </c>
      <c r="C76" t="s">
        <v>71</v>
      </c>
      <c r="D76">
        <v>-2.4030000000000002E-3</v>
      </c>
      <c r="E76">
        <v>1.2290000000000001E-3</v>
      </c>
      <c r="F76">
        <v>60</v>
      </c>
      <c r="G76" s="4">
        <v>8.5601999999999998E-2</v>
      </c>
      <c r="H76">
        <v>6.3800000000000003E-3</v>
      </c>
      <c r="I76">
        <v>1.3533E-2</v>
      </c>
      <c r="J76">
        <v>1.5592E-2</v>
      </c>
      <c r="K76">
        <v>1.8370000000000001E-3</v>
      </c>
      <c r="L76">
        <v>1.2025650000000001</v>
      </c>
      <c r="M76">
        <v>3.2930000000000001E-2</v>
      </c>
      <c r="N76">
        <v>20.405366000000001</v>
      </c>
    </row>
    <row r="77" spans="2:14" x14ac:dyDescent="0.2">
      <c r="B77">
        <v>16</v>
      </c>
      <c r="C77" t="s">
        <v>83</v>
      </c>
      <c r="D77">
        <v>1.0248E-2</v>
      </c>
      <c r="E77">
        <v>2.0760000000000002E-3</v>
      </c>
      <c r="F77">
        <v>59</v>
      </c>
      <c r="G77" s="4">
        <v>0.14350099999999999</v>
      </c>
      <c r="H77">
        <v>9.1369999999999993E-3</v>
      </c>
      <c r="I77">
        <v>4.7048E-2</v>
      </c>
      <c r="J77">
        <v>2.3751999999999999E-2</v>
      </c>
      <c r="K77">
        <v>2.8930000000000002E-3</v>
      </c>
      <c r="L77">
        <v>2.0488870000000001</v>
      </c>
      <c r="M77">
        <v>5.9166999999999997E-2</v>
      </c>
      <c r="N77">
        <v>20.365311999999999</v>
      </c>
    </row>
    <row r="78" spans="2:14" x14ac:dyDescent="0.2">
      <c r="B78">
        <v>37</v>
      </c>
      <c r="C78" t="s">
        <v>121</v>
      </c>
      <c r="D78">
        <v>6.8199999999999999E-4</v>
      </c>
      <c r="E78">
        <v>1.3929999999999999E-3</v>
      </c>
      <c r="F78">
        <v>60</v>
      </c>
      <c r="G78" s="4">
        <v>0.102483</v>
      </c>
      <c r="H78">
        <v>7.6909999999999999E-3</v>
      </c>
      <c r="I78">
        <v>1.1089999999999999E-2</v>
      </c>
      <c r="J78">
        <v>1.5526E-2</v>
      </c>
      <c r="K78">
        <v>1.678E-3</v>
      </c>
      <c r="L78">
        <v>0.58433800000000002</v>
      </c>
      <c r="M78">
        <v>3.9564000000000002E-2</v>
      </c>
      <c r="N78">
        <v>20.198475999999999</v>
      </c>
    </row>
    <row r="79" spans="2:14" x14ac:dyDescent="0.2">
      <c r="B79">
        <v>25</v>
      </c>
      <c r="C79" t="s">
        <v>123</v>
      </c>
      <c r="D79">
        <v>2.0249999999999999E-3</v>
      </c>
      <c r="E79">
        <v>2.7169999999999998E-3</v>
      </c>
      <c r="F79">
        <v>59</v>
      </c>
      <c r="G79" s="4">
        <v>2.1179E-2</v>
      </c>
      <c r="H79">
        <v>3.0560000000000001E-3</v>
      </c>
      <c r="I79">
        <v>8.0269999999999994E-3</v>
      </c>
      <c r="J79">
        <v>1.0045999999999999E-2</v>
      </c>
      <c r="K79">
        <v>1.549E-3</v>
      </c>
      <c r="L79">
        <v>0.93191000000000002</v>
      </c>
      <c r="M79">
        <v>1.1083000000000001E-2</v>
      </c>
      <c r="N79">
        <v>19.979979</v>
      </c>
    </row>
    <row r="80" spans="2:14" x14ac:dyDescent="0.2">
      <c r="B80">
        <v>27</v>
      </c>
      <c r="C80" t="s">
        <v>74</v>
      </c>
      <c r="D80">
        <v>3.9230000000000003E-3</v>
      </c>
      <c r="E80">
        <v>2.6340000000000001E-3</v>
      </c>
      <c r="F80">
        <v>58</v>
      </c>
      <c r="G80" s="4">
        <v>0.176483</v>
      </c>
      <c r="H80">
        <v>1.1331000000000001E-2</v>
      </c>
      <c r="I80">
        <v>1.0404999999999999E-2</v>
      </c>
      <c r="J80">
        <v>3.9008000000000001E-2</v>
      </c>
      <c r="K80">
        <v>8.8009999999999998E-3</v>
      </c>
      <c r="L80">
        <v>1.3577900000000001</v>
      </c>
      <c r="M80">
        <v>7.3137999999999995E-2</v>
      </c>
      <c r="N80">
        <v>19.789397999999998</v>
      </c>
    </row>
    <row r="81" spans="2:14" x14ac:dyDescent="0.2">
      <c r="B81">
        <v>2</v>
      </c>
      <c r="C81" t="s">
        <v>78</v>
      </c>
      <c r="D81">
        <v>1.794E-3</v>
      </c>
      <c r="E81">
        <v>1.222E-3</v>
      </c>
      <c r="F81">
        <v>57</v>
      </c>
      <c r="G81">
        <v>6.9090000000000002E-3</v>
      </c>
      <c r="H81">
        <v>3.9789999999999999E-3</v>
      </c>
      <c r="I81">
        <v>9.4750000000000008E-3</v>
      </c>
      <c r="J81">
        <v>6.9179999999999997E-3</v>
      </c>
      <c r="K81">
        <v>2.225E-3</v>
      </c>
      <c r="L81">
        <v>1.485047</v>
      </c>
      <c r="M81">
        <v>5.2069999999999998E-3</v>
      </c>
      <c r="N81">
        <v>19.498173999999999</v>
      </c>
    </row>
    <row r="82" spans="2:14" x14ac:dyDescent="0.2">
      <c r="B82">
        <v>15</v>
      </c>
      <c r="C82" t="s">
        <v>79</v>
      </c>
      <c r="D82">
        <v>2.23E-4</v>
      </c>
      <c r="E82">
        <v>9.8799999999999995E-4</v>
      </c>
      <c r="F82">
        <v>55</v>
      </c>
      <c r="G82">
        <v>1.8915000000000001E-2</v>
      </c>
      <c r="H82">
        <v>3.607E-3</v>
      </c>
      <c r="I82">
        <v>2.3956999999999999E-2</v>
      </c>
      <c r="J82">
        <v>-2.3530000000000001E-3</v>
      </c>
      <c r="K82">
        <v>3.1129999999999999E-3</v>
      </c>
      <c r="L82">
        <v>1.2440119999999999</v>
      </c>
      <c r="M82">
        <v>5.5950000000000001E-3</v>
      </c>
      <c r="N82">
        <v>18.755990000000001</v>
      </c>
    </row>
    <row r="83" spans="2:14" x14ac:dyDescent="0.2">
      <c r="B83">
        <v>28</v>
      </c>
      <c r="C83" t="s">
        <v>77</v>
      </c>
      <c r="D83">
        <v>4.934E-3</v>
      </c>
      <c r="E83">
        <v>9.9400000000000009E-4</v>
      </c>
      <c r="F83">
        <v>53</v>
      </c>
      <c r="G83">
        <v>8.4885000000000002E-2</v>
      </c>
      <c r="H83">
        <v>9.9430000000000004E-3</v>
      </c>
      <c r="I83">
        <v>1.6102000000000002E-2</v>
      </c>
      <c r="J83">
        <v>2.2712E-2</v>
      </c>
      <c r="K83">
        <v>2.075E-3</v>
      </c>
      <c r="L83">
        <v>1.22925</v>
      </c>
      <c r="M83">
        <v>3.7510000000000002E-2</v>
      </c>
      <c r="N83">
        <v>18.081783999999999</v>
      </c>
    </row>
    <row r="84" spans="2:14" x14ac:dyDescent="0.2">
      <c r="B84">
        <v>14</v>
      </c>
      <c r="C84" t="s">
        <v>81</v>
      </c>
      <c r="D84">
        <v>4.4799999999999996E-3</v>
      </c>
      <c r="E84">
        <v>1.467E-3</v>
      </c>
      <c r="F84">
        <v>44</v>
      </c>
      <c r="G84">
        <v>1.7821E-2</v>
      </c>
      <c r="H84">
        <v>2.3410000000000002E-3</v>
      </c>
      <c r="I84">
        <v>1.0964E-2</v>
      </c>
      <c r="J84">
        <v>-9.9500000000000001E-4</v>
      </c>
      <c r="K84">
        <v>2.5110000000000002E-3</v>
      </c>
      <c r="L84">
        <v>0.97393700000000005</v>
      </c>
      <c r="M84">
        <v>7.1019999999999998E-3</v>
      </c>
      <c r="N84">
        <v>14.994967000000001</v>
      </c>
    </row>
    <row r="85" spans="2:14" x14ac:dyDescent="0.2">
      <c r="B85">
        <v>39</v>
      </c>
      <c r="C85" t="s">
        <v>126</v>
      </c>
      <c r="D85">
        <v>4.6629999999999996E-3</v>
      </c>
      <c r="E85">
        <v>1.0510000000000001E-3</v>
      </c>
      <c r="F85">
        <v>41</v>
      </c>
      <c r="G85">
        <v>0.13348099999999999</v>
      </c>
      <c r="H85">
        <v>1.1689E-2</v>
      </c>
      <c r="I85">
        <v>1.6757000000000001E-2</v>
      </c>
      <c r="J85">
        <v>7.9668000000000003E-2</v>
      </c>
      <c r="K85">
        <v>3.3430000000000001E-3</v>
      </c>
      <c r="L85">
        <v>3.0913149999999998</v>
      </c>
      <c r="M85">
        <v>7.2604000000000002E-2</v>
      </c>
      <c r="N85">
        <v>14.702691</v>
      </c>
    </row>
    <row r="86" spans="2:14" x14ac:dyDescent="0.2">
      <c r="B86">
        <v>3</v>
      </c>
      <c r="C86" t="s">
        <v>127</v>
      </c>
      <c r="D86">
        <v>8.8000000000000003E-4</v>
      </c>
      <c r="E86">
        <v>7.0500000000000001E-4</v>
      </c>
      <c r="F86">
        <v>39</v>
      </c>
      <c r="G86">
        <v>1.6497000000000001E-2</v>
      </c>
      <c r="H86">
        <v>4.2589999999999998E-3</v>
      </c>
      <c r="I86">
        <v>1.3249E-2</v>
      </c>
      <c r="J86">
        <v>8.3600000000000005E-4</v>
      </c>
      <c r="K86">
        <v>9.9099999999999991E-4</v>
      </c>
      <c r="L86">
        <v>0.31790800000000002</v>
      </c>
      <c r="M86">
        <v>6.071E-3</v>
      </c>
      <c r="N86">
        <v>13.110386</v>
      </c>
    </row>
    <row r="87" spans="2:14" x14ac:dyDescent="0.2">
      <c r="B87">
        <v>24</v>
      </c>
      <c r="C87" t="s">
        <v>80</v>
      </c>
      <c r="D87">
        <v>1.1565000000000001E-2</v>
      </c>
      <c r="E87">
        <v>1.696E-3</v>
      </c>
      <c r="F87">
        <v>27</v>
      </c>
      <c r="G87">
        <v>0.19359499999999999</v>
      </c>
      <c r="H87">
        <v>8.6650000000000008E-3</v>
      </c>
      <c r="I87">
        <v>7.221E-3</v>
      </c>
      <c r="J87">
        <v>4.4631999999999998E-2</v>
      </c>
      <c r="K87">
        <v>5.1669999999999997E-3</v>
      </c>
      <c r="L87">
        <v>1.0234080000000001</v>
      </c>
      <c r="M87">
        <v>8.3264000000000005E-2</v>
      </c>
      <c r="N87">
        <v>9.3435430000000004</v>
      </c>
    </row>
    <row r="88" spans="2:14" x14ac:dyDescent="0.2">
      <c r="B88">
        <v>4</v>
      </c>
      <c r="C88" t="s">
        <v>128</v>
      </c>
      <c r="D88">
        <v>-8.8000000000000003E-4</v>
      </c>
      <c r="E88">
        <v>2.7700000000000001E-4</v>
      </c>
      <c r="F88">
        <v>22</v>
      </c>
      <c r="G88">
        <v>4.0769E-2</v>
      </c>
      <c r="H88">
        <v>2.6830000000000001E-3</v>
      </c>
      <c r="I88">
        <v>9.4219999999999998E-3</v>
      </c>
      <c r="J88">
        <v>-2.1410000000000001E-3</v>
      </c>
      <c r="K88">
        <v>6.6399999999999999E-4</v>
      </c>
      <c r="L88">
        <v>0.26617000000000002</v>
      </c>
      <c r="M88">
        <v>1.2581999999999999E-2</v>
      </c>
      <c r="N88">
        <v>7.4251969999999998</v>
      </c>
    </row>
    <row r="89" spans="2:14" x14ac:dyDescent="0.2">
      <c r="B89">
        <v>5</v>
      </c>
      <c r="C89" t="s">
        <v>129</v>
      </c>
      <c r="D89">
        <v>-9.7E-5</v>
      </c>
      <c r="E89">
        <v>3.2400000000000001E-4</v>
      </c>
      <c r="F89">
        <v>20</v>
      </c>
      <c r="G89">
        <v>2.8219999999999999E-3</v>
      </c>
      <c r="H89">
        <v>1.0839999999999999E-3</v>
      </c>
      <c r="I89">
        <v>7.0689999999999998E-3</v>
      </c>
      <c r="J89">
        <v>-7.4100000000000001E-4</v>
      </c>
      <c r="K89">
        <v>6.8599999999999998E-4</v>
      </c>
      <c r="L89">
        <v>0.24573</v>
      </c>
      <c r="M89">
        <v>6.6200000000000005E-4</v>
      </c>
      <c r="N89">
        <v>6.7509329999999999</v>
      </c>
    </row>
    <row r="90" spans="2:14" x14ac:dyDescent="0.2">
      <c r="B90">
        <v>7</v>
      </c>
      <c r="C90" t="s">
        <v>130</v>
      </c>
      <c r="D90">
        <v>8.3299999999999997E-4</v>
      </c>
      <c r="E90">
        <v>4.86E-4</v>
      </c>
      <c r="F90">
        <v>19</v>
      </c>
      <c r="G90">
        <v>4.5748999999999998E-2</v>
      </c>
      <c r="H90">
        <v>2.9099999999999998E-3</v>
      </c>
      <c r="I90">
        <v>1.1599999999999999E-2</v>
      </c>
      <c r="J90">
        <v>1.6509999999999999E-3</v>
      </c>
      <c r="K90">
        <v>1.042E-3</v>
      </c>
      <c r="L90">
        <v>0.56864000000000003</v>
      </c>
      <c r="M90">
        <v>1.6077000000000001E-2</v>
      </c>
      <c r="N90">
        <v>6.5267470000000003</v>
      </c>
    </row>
    <row r="91" spans="2:14" x14ac:dyDescent="0.2">
      <c r="B91">
        <v>0</v>
      </c>
      <c r="C91" t="s">
        <v>86</v>
      </c>
      <c r="D91">
        <v>-3.8000000000000002E-5</v>
      </c>
      <c r="E91">
        <v>5.2499999999999997E-4</v>
      </c>
      <c r="F91">
        <v>19</v>
      </c>
      <c r="G91">
        <v>3.88E-4</v>
      </c>
      <c r="H91">
        <v>2.4989999999999999E-3</v>
      </c>
      <c r="I91">
        <v>1.089E-2</v>
      </c>
      <c r="J91">
        <v>-3.8530000000000001E-3</v>
      </c>
      <c r="K91">
        <v>1.4109999999999999E-3</v>
      </c>
      <c r="L91">
        <v>0.31823600000000002</v>
      </c>
      <c r="M91">
        <v>-1.1670000000000001E-3</v>
      </c>
      <c r="N91">
        <v>6.4430420000000002</v>
      </c>
    </row>
    <row r="92" spans="2:14" x14ac:dyDescent="0.2">
      <c r="B92">
        <v>6</v>
      </c>
      <c r="C92" t="s">
        <v>131</v>
      </c>
      <c r="D92">
        <v>-1.5E-5</v>
      </c>
      <c r="E92">
        <v>3.4900000000000003E-4</v>
      </c>
      <c r="F92">
        <v>14</v>
      </c>
      <c r="G92">
        <v>2.2571999999999998E-2</v>
      </c>
      <c r="H92">
        <v>3.4220000000000001E-3</v>
      </c>
      <c r="I92">
        <v>8.1720000000000004E-3</v>
      </c>
      <c r="J92">
        <v>3.9100000000000002E-4</v>
      </c>
      <c r="K92">
        <v>5.5900000000000004E-4</v>
      </c>
      <c r="L92">
        <v>0.334754</v>
      </c>
      <c r="M92">
        <v>7.6499999999999997E-3</v>
      </c>
      <c r="N92">
        <v>4.7809759999999999</v>
      </c>
    </row>
    <row r="93" spans="2:14" x14ac:dyDescent="0.2">
      <c r="B93">
        <v>40</v>
      </c>
      <c r="C93" t="s">
        <v>122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1.3501000000000001E-2</v>
      </c>
      <c r="K93">
        <v>2.9979999999999998E-3</v>
      </c>
      <c r="L93">
        <v>5.2283109999999997</v>
      </c>
      <c r="M93">
        <v>4.4999999999999997E-3</v>
      </c>
      <c r="N93">
        <v>1.7427699999999999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D008-9788-1248-805B-A9686F4B393A}">
  <dimension ref="A1:T90"/>
  <sheetViews>
    <sheetView tabSelected="1" topLeftCell="A22" zoomScaleNormal="100" workbookViewId="0">
      <selection activeCell="S90" sqref="S90"/>
    </sheetView>
  </sheetViews>
  <sheetFormatPr baseColWidth="10" defaultRowHeight="16" x14ac:dyDescent="0.2"/>
  <sheetData>
    <row r="1" spans="1:20" x14ac:dyDescent="0.2">
      <c r="B1" s="3" t="s">
        <v>113</v>
      </c>
      <c r="F1" t="s">
        <v>119</v>
      </c>
      <c r="J1" t="s">
        <v>133</v>
      </c>
      <c r="N1" t="s">
        <v>132</v>
      </c>
      <c r="R1" t="s">
        <v>134</v>
      </c>
    </row>
    <row r="3" spans="1:20" x14ac:dyDescent="0.2">
      <c r="A3">
        <v>1</v>
      </c>
      <c r="B3" t="s">
        <v>110</v>
      </c>
      <c r="C3">
        <v>0.76329999999999998</v>
      </c>
      <c r="F3" t="s">
        <v>110</v>
      </c>
      <c r="G3">
        <v>0.76349999999999996</v>
      </c>
      <c r="J3" t="s">
        <v>110</v>
      </c>
      <c r="K3">
        <v>0.76500000000000001</v>
      </c>
      <c r="N3" t="s">
        <v>110</v>
      </c>
      <c r="O3">
        <v>0.76459999999999995</v>
      </c>
      <c r="R3" t="s">
        <v>110</v>
      </c>
      <c r="S3">
        <v>0.76459999999999995</v>
      </c>
    </row>
    <row r="4" spans="1:20" x14ac:dyDescent="0.2">
      <c r="B4" t="s">
        <v>111</v>
      </c>
      <c r="C4">
        <v>0.78449999999999998</v>
      </c>
      <c r="F4" t="s">
        <v>111</v>
      </c>
      <c r="G4">
        <v>0.78410000000000002</v>
      </c>
      <c r="J4" t="s">
        <v>111</v>
      </c>
      <c r="K4">
        <v>0.7863</v>
      </c>
      <c r="N4" t="s">
        <v>111</v>
      </c>
      <c r="O4">
        <v>0.78559999999999997</v>
      </c>
      <c r="R4" t="s">
        <v>111</v>
      </c>
      <c r="S4">
        <v>0.78500000000000003</v>
      </c>
    </row>
    <row r="5" spans="1:20" x14ac:dyDescent="0.2">
      <c r="B5" t="s">
        <v>111</v>
      </c>
      <c r="C5">
        <v>0.76980000000000004</v>
      </c>
      <c r="F5" t="s">
        <v>111</v>
      </c>
      <c r="G5">
        <v>0.53490000000000004</v>
      </c>
      <c r="J5" t="s">
        <v>111</v>
      </c>
      <c r="K5">
        <v>0.78290000000000004</v>
      </c>
      <c r="N5" t="s">
        <v>111</v>
      </c>
      <c r="O5">
        <v>0.78029999999999999</v>
      </c>
      <c r="R5" t="s">
        <v>111</v>
      </c>
      <c r="S5">
        <v>0.77969999999999995</v>
      </c>
    </row>
    <row r="6" spans="1:20" x14ac:dyDescent="0.2">
      <c r="B6" t="s">
        <v>112</v>
      </c>
      <c r="C6">
        <v>0.76239999999999997</v>
      </c>
      <c r="F6" t="s">
        <v>112</v>
      </c>
      <c r="G6">
        <v>0.7631</v>
      </c>
      <c r="J6" t="s">
        <v>112</v>
      </c>
      <c r="K6">
        <v>0.76429999999999998</v>
      </c>
      <c r="N6" t="s">
        <v>112</v>
      </c>
      <c r="O6">
        <v>0.76439999999999997</v>
      </c>
      <c r="R6" t="s">
        <v>112</v>
      </c>
      <c r="S6">
        <v>0.76429999999999998</v>
      </c>
    </row>
    <row r="8" spans="1:20" x14ac:dyDescent="0.2">
      <c r="B8">
        <v>0.81014823261117397</v>
      </c>
      <c r="C8">
        <v>0.81039257208014304</v>
      </c>
      <c r="D8">
        <v>0.81022967910082999</v>
      </c>
      <c r="F8">
        <v>0.81088125101808095</v>
      </c>
      <c r="G8">
        <v>0.81063691154911199</v>
      </c>
      <c r="H8">
        <v>0.81075908128359597</v>
      </c>
      <c r="J8">
        <v>0.81151448478181099</v>
      </c>
      <c r="K8">
        <v>0.81114778144481103</v>
      </c>
      <c r="L8">
        <v>0.81114778144481103</v>
      </c>
      <c r="N8">
        <v>0.81127001589047798</v>
      </c>
      <c r="O8">
        <v>0.81110703662958805</v>
      </c>
      <c r="P8">
        <v>0.81106629181436596</v>
      </c>
      <c r="R8">
        <v>0.81127001589047798</v>
      </c>
      <c r="S8">
        <v>0.81102554699914398</v>
      </c>
      <c r="T8">
        <v>0.81098480218392199</v>
      </c>
    </row>
    <row r="11" spans="1:20" x14ac:dyDescent="0.2">
      <c r="A11">
        <v>2</v>
      </c>
      <c r="B11" t="s">
        <v>114</v>
      </c>
      <c r="C11">
        <v>0.76319999999999999</v>
      </c>
      <c r="F11" t="s">
        <v>114</v>
      </c>
      <c r="G11">
        <v>0.76270000000000004</v>
      </c>
      <c r="J11" t="s">
        <v>114</v>
      </c>
      <c r="K11">
        <v>0.76339999999999997</v>
      </c>
      <c r="N11" t="s">
        <v>114</v>
      </c>
      <c r="O11">
        <v>0.76419999999999999</v>
      </c>
      <c r="R11" t="s">
        <v>114</v>
      </c>
      <c r="S11">
        <v>0.7641</v>
      </c>
    </row>
    <row r="12" spans="1:20" x14ac:dyDescent="0.2">
      <c r="B12" s="2" t="s">
        <v>115</v>
      </c>
      <c r="C12">
        <v>0.45029999999999998</v>
      </c>
      <c r="F12" t="s">
        <v>115</v>
      </c>
      <c r="G12">
        <v>0.45029999999999998</v>
      </c>
      <c r="J12" t="s">
        <v>115</v>
      </c>
      <c r="K12">
        <v>0.4476</v>
      </c>
      <c r="N12" t="s">
        <v>115</v>
      </c>
      <c r="O12">
        <v>0.4476</v>
      </c>
      <c r="R12" t="s">
        <v>115</v>
      </c>
      <c r="S12">
        <v>0.4476</v>
      </c>
    </row>
    <row r="13" spans="1:20" x14ac:dyDescent="0.2">
      <c r="B13" t="s">
        <v>114</v>
      </c>
      <c r="C13">
        <v>0.76329999999999998</v>
      </c>
      <c r="F13" t="s">
        <v>114</v>
      </c>
      <c r="G13">
        <v>0.76290000000000002</v>
      </c>
      <c r="J13" t="s">
        <v>114</v>
      </c>
      <c r="K13">
        <v>0.76319999999999999</v>
      </c>
      <c r="N13" t="s">
        <v>114</v>
      </c>
      <c r="O13">
        <v>0.76339999999999997</v>
      </c>
      <c r="R13" t="s">
        <v>114</v>
      </c>
      <c r="S13">
        <v>0.76359999999999995</v>
      </c>
    </row>
    <row r="14" spans="1:20" x14ac:dyDescent="0.2">
      <c r="B14" t="s">
        <v>110</v>
      </c>
      <c r="C14">
        <v>0.76280000000000003</v>
      </c>
      <c r="F14" t="s">
        <v>110</v>
      </c>
      <c r="G14">
        <v>0.7631</v>
      </c>
      <c r="J14" t="s">
        <v>110</v>
      </c>
      <c r="K14">
        <v>0.7631</v>
      </c>
      <c r="N14" t="s">
        <v>110</v>
      </c>
      <c r="O14">
        <v>0.76319999999999999</v>
      </c>
      <c r="R14" t="s">
        <v>110</v>
      </c>
      <c r="S14">
        <v>0.76329999999999998</v>
      </c>
    </row>
    <row r="15" spans="1:20" x14ac:dyDescent="0.2">
      <c r="B15" t="s">
        <v>114</v>
      </c>
      <c r="C15">
        <v>0.76290000000000002</v>
      </c>
      <c r="F15" t="s">
        <v>114</v>
      </c>
      <c r="G15">
        <v>0.76249999999999996</v>
      </c>
      <c r="J15" t="s">
        <v>114</v>
      </c>
      <c r="K15">
        <v>0.76319999999999999</v>
      </c>
      <c r="N15" t="s">
        <v>114</v>
      </c>
      <c r="O15">
        <v>0.76349999999999996</v>
      </c>
      <c r="R15" t="s">
        <v>114</v>
      </c>
      <c r="S15">
        <v>0.76359999999999995</v>
      </c>
    </row>
    <row r="16" spans="1:20" x14ac:dyDescent="0.2">
      <c r="B16" t="s">
        <v>110</v>
      </c>
      <c r="C16">
        <v>0.76270000000000004</v>
      </c>
      <c r="F16" t="s">
        <v>110</v>
      </c>
      <c r="G16">
        <v>0.76319999999999999</v>
      </c>
      <c r="J16" t="s">
        <v>110</v>
      </c>
      <c r="K16">
        <v>0.76529999999999998</v>
      </c>
      <c r="N16" t="s">
        <v>110</v>
      </c>
      <c r="O16">
        <v>0.76449999999999996</v>
      </c>
      <c r="R16" t="s">
        <v>110</v>
      </c>
      <c r="S16">
        <v>0.76500000000000001</v>
      </c>
    </row>
    <row r="17" spans="1:20" x14ac:dyDescent="0.2">
      <c r="B17" t="s">
        <v>116</v>
      </c>
      <c r="C17">
        <v>0.78400000000000003</v>
      </c>
      <c r="F17" t="s">
        <v>116</v>
      </c>
      <c r="G17">
        <v>0.78369999999999995</v>
      </c>
      <c r="J17" t="s">
        <v>116</v>
      </c>
      <c r="K17">
        <v>0.78339999999999999</v>
      </c>
      <c r="N17" t="s">
        <v>116</v>
      </c>
      <c r="O17">
        <v>0.78280000000000005</v>
      </c>
      <c r="R17" t="s">
        <v>116</v>
      </c>
      <c r="S17">
        <v>0.78220000000000001</v>
      </c>
    </row>
    <row r="18" spans="1:20" x14ac:dyDescent="0.2">
      <c r="B18" t="s">
        <v>117</v>
      </c>
      <c r="C18">
        <v>0.78280000000000005</v>
      </c>
      <c r="F18" t="s">
        <v>117</v>
      </c>
      <c r="G18">
        <v>0.78149999999999997</v>
      </c>
      <c r="J18" t="s">
        <v>117</v>
      </c>
      <c r="K18">
        <v>0.78549999999999998</v>
      </c>
      <c r="N18" t="s">
        <v>117</v>
      </c>
      <c r="O18">
        <v>0.78510000000000002</v>
      </c>
      <c r="R18" t="s">
        <v>117</v>
      </c>
      <c r="S18">
        <v>0.78439999999999999</v>
      </c>
    </row>
    <row r="19" spans="1:20" x14ac:dyDescent="0.2">
      <c r="B19" t="s">
        <v>111</v>
      </c>
      <c r="C19">
        <v>0.78449999999999998</v>
      </c>
      <c r="F19" t="s">
        <v>111</v>
      </c>
      <c r="G19">
        <v>0.78410000000000002</v>
      </c>
      <c r="J19" t="s">
        <v>111</v>
      </c>
      <c r="K19">
        <v>0.7863</v>
      </c>
      <c r="N19" t="s">
        <v>111</v>
      </c>
      <c r="O19">
        <v>0.78559999999999997</v>
      </c>
      <c r="R19" t="s">
        <v>111</v>
      </c>
      <c r="S19">
        <v>0.78500000000000003</v>
      </c>
    </row>
    <row r="20" spans="1:20" x14ac:dyDescent="0.2">
      <c r="B20" t="s">
        <v>118</v>
      </c>
      <c r="C20">
        <v>0.77059999999999995</v>
      </c>
      <c r="F20" t="s">
        <v>118</v>
      </c>
      <c r="G20">
        <v>0.76459999999999995</v>
      </c>
      <c r="J20" t="s">
        <v>118</v>
      </c>
      <c r="K20">
        <v>0.77</v>
      </c>
      <c r="N20" t="s">
        <v>118</v>
      </c>
      <c r="O20">
        <v>0.7712</v>
      </c>
      <c r="R20" t="s">
        <v>118</v>
      </c>
      <c r="S20">
        <v>0.77270000000000005</v>
      </c>
    </row>
    <row r="22" spans="1:20" x14ac:dyDescent="0.2">
      <c r="B22">
        <v>0.830081173899469</v>
      </c>
      <c r="C22">
        <v>0.83991570402747395</v>
      </c>
      <c r="D22">
        <v>0.83570090540118602</v>
      </c>
      <c r="F22">
        <v>0.82719325632219798</v>
      </c>
      <c r="G22">
        <v>0.83858882297845705</v>
      </c>
      <c r="H22">
        <v>0.834608179831408</v>
      </c>
      <c r="J22">
        <v>0.81710250640180004</v>
      </c>
      <c r="K22">
        <v>0.842399317141305</v>
      </c>
      <c r="L22">
        <v>0.83269961977186302</v>
      </c>
      <c r="N22">
        <v>0.82719019166602004</v>
      </c>
      <c r="O22">
        <v>0.84185613408861604</v>
      </c>
      <c r="P22">
        <v>0.83533793745635099</v>
      </c>
      <c r="R22">
        <v>0.83417397377201796</v>
      </c>
      <c r="S22">
        <v>0.839916194614728</v>
      </c>
      <c r="T22">
        <v>0.83743307208814999</v>
      </c>
    </row>
    <row r="25" spans="1:20" x14ac:dyDescent="0.2">
      <c r="A25">
        <v>3</v>
      </c>
      <c r="B25" t="s">
        <v>114</v>
      </c>
      <c r="C25">
        <v>0.76370000000000005</v>
      </c>
      <c r="F25" t="s">
        <v>114</v>
      </c>
      <c r="G25">
        <v>0.76370000000000005</v>
      </c>
      <c r="J25" t="s">
        <v>114</v>
      </c>
      <c r="K25">
        <v>0.76439999999999997</v>
      </c>
      <c r="N25" t="s">
        <v>114</v>
      </c>
      <c r="O25">
        <v>0.76539999999999997</v>
      </c>
      <c r="R25" t="s">
        <v>114</v>
      </c>
      <c r="S25">
        <v>0.76519999999999999</v>
      </c>
    </row>
    <row r="26" spans="1:20" x14ac:dyDescent="0.2">
      <c r="B26" t="s">
        <v>112</v>
      </c>
      <c r="C26">
        <v>0.76239999999999997</v>
      </c>
      <c r="F26" t="s">
        <v>112</v>
      </c>
      <c r="G26">
        <v>0.7631</v>
      </c>
      <c r="J26" t="s">
        <v>112</v>
      </c>
      <c r="K26">
        <v>0.76429999999999998</v>
      </c>
      <c r="N26" t="s">
        <v>112</v>
      </c>
      <c r="O26">
        <v>0.76439999999999997</v>
      </c>
      <c r="R26" t="s">
        <v>112</v>
      </c>
      <c r="S26">
        <v>0.76429999999999998</v>
      </c>
    </row>
    <row r="27" spans="1:20" x14ac:dyDescent="0.2">
      <c r="B27" t="s">
        <v>110</v>
      </c>
      <c r="C27">
        <v>0.76180000000000003</v>
      </c>
      <c r="F27" t="s">
        <v>110</v>
      </c>
      <c r="G27">
        <v>0.76290000000000002</v>
      </c>
      <c r="J27" t="s">
        <v>110</v>
      </c>
      <c r="K27">
        <v>0.76439999999999997</v>
      </c>
      <c r="N27" t="s">
        <v>110</v>
      </c>
      <c r="O27">
        <v>0.76470000000000005</v>
      </c>
      <c r="R27" t="s">
        <v>110</v>
      </c>
      <c r="S27">
        <v>0.76459999999999995</v>
      </c>
    </row>
    <row r="28" spans="1:20" x14ac:dyDescent="0.2">
      <c r="B28" t="s">
        <v>118</v>
      </c>
      <c r="C28">
        <v>0.77490000000000003</v>
      </c>
      <c r="F28" t="s">
        <v>118</v>
      </c>
      <c r="G28">
        <v>0.77449999999999997</v>
      </c>
      <c r="J28" t="s">
        <v>118</v>
      </c>
      <c r="K28">
        <v>0.77629999999999999</v>
      </c>
      <c r="N28" t="s">
        <v>118</v>
      </c>
      <c r="O28">
        <v>0.77859999999999996</v>
      </c>
      <c r="R28" t="s">
        <v>118</v>
      </c>
      <c r="S28">
        <v>0.77739999999999998</v>
      </c>
    </row>
    <row r="29" spans="1:20" x14ac:dyDescent="0.2">
      <c r="B29" t="s">
        <v>114</v>
      </c>
      <c r="C29">
        <v>0.76319999999999999</v>
      </c>
      <c r="F29" t="s">
        <v>114</v>
      </c>
      <c r="G29">
        <v>0.76270000000000004</v>
      </c>
      <c r="J29" t="s">
        <v>114</v>
      </c>
      <c r="K29">
        <v>0.76339999999999997</v>
      </c>
      <c r="N29" t="s">
        <v>114</v>
      </c>
      <c r="O29">
        <v>0.76419999999999999</v>
      </c>
      <c r="R29" t="s">
        <v>114</v>
      </c>
      <c r="S29">
        <v>0.7641</v>
      </c>
    </row>
    <row r="30" spans="1:20" x14ac:dyDescent="0.2">
      <c r="B30" t="s">
        <v>112</v>
      </c>
      <c r="C30">
        <v>0.76219999999999999</v>
      </c>
      <c r="F30" t="s">
        <v>112</v>
      </c>
      <c r="G30">
        <v>0.76270000000000004</v>
      </c>
      <c r="J30" t="s">
        <v>112</v>
      </c>
      <c r="K30">
        <v>0.76429999999999998</v>
      </c>
      <c r="N30" t="s">
        <v>112</v>
      </c>
      <c r="O30">
        <v>0.76459999999999995</v>
      </c>
      <c r="R30" t="s">
        <v>112</v>
      </c>
      <c r="S30">
        <v>0.76459999999999995</v>
      </c>
    </row>
    <row r="31" spans="1:20" x14ac:dyDescent="0.2">
      <c r="B31" t="s">
        <v>110</v>
      </c>
      <c r="C31">
        <v>0.76329999999999998</v>
      </c>
      <c r="F31" t="s">
        <v>110</v>
      </c>
      <c r="G31">
        <v>0.76349999999999996</v>
      </c>
      <c r="J31" t="s">
        <v>110</v>
      </c>
      <c r="K31">
        <v>0.76500000000000001</v>
      </c>
      <c r="N31" t="s">
        <v>110</v>
      </c>
      <c r="O31">
        <v>0.76459999999999995</v>
      </c>
      <c r="R31" t="s">
        <v>110</v>
      </c>
      <c r="S31">
        <v>0.76459999999999995</v>
      </c>
    </row>
    <row r="32" spans="1:20" x14ac:dyDescent="0.2">
      <c r="B32" t="s">
        <v>118</v>
      </c>
      <c r="C32">
        <v>0.77459999999999996</v>
      </c>
      <c r="F32" t="s">
        <v>118</v>
      </c>
      <c r="G32">
        <v>0.77410000000000001</v>
      </c>
      <c r="J32" t="s">
        <v>118</v>
      </c>
      <c r="K32">
        <v>0.77959999999999996</v>
      </c>
      <c r="N32" t="s">
        <v>118</v>
      </c>
      <c r="O32">
        <v>0.77800000000000002</v>
      </c>
      <c r="R32" t="s">
        <v>118</v>
      </c>
      <c r="S32">
        <v>0.77629999999999999</v>
      </c>
    </row>
    <row r="33" spans="2:20" x14ac:dyDescent="0.2">
      <c r="B33" t="s">
        <v>117</v>
      </c>
      <c r="C33">
        <v>0.50870000000000004</v>
      </c>
      <c r="F33" t="s">
        <v>117</v>
      </c>
      <c r="G33">
        <v>0.50870000000000004</v>
      </c>
      <c r="J33" t="s">
        <v>117</v>
      </c>
      <c r="K33">
        <v>0.50509999999999999</v>
      </c>
      <c r="N33" t="s">
        <v>117</v>
      </c>
      <c r="O33">
        <v>0.50509999999999999</v>
      </c>
      <c r="R33" t="s">
        <v>117</v>
      </c>
      <c r="S33">
        <v>0.50509999999999999</v>
      </c>
    </row>
    <row r="34" spans="2:20" x14ac:dyDescent="0.2">
      <c r="B34" t="s">
        <v>111</v>
      </c>
      <c r="C34">
        <v>0.52310000000000001</v>
      </c>
      <c r="F34" t="s">
        <v>111</v>
      </c>
      <c r="G34">
        <v>0.52769999999999995</v>
      </c>
      <c r="J34" t="s">
        <v>111</v>
      </c>
      <c r="K34">
        <v>0.78380000000000005</v>
      </c>
      <c r="N34" t="s">
        <v>111</v>
      </c>
      <c r="O34">
        <v>0.7843</v>
      </c>
      <c r="R34" t="s">
        <v>111</v>
      </c>
      <c r="S34">
        <v>0.78420000000000001</v>
      </c>
    </row>
    <row r="35" spans="2:20" x14ac:dyDescent="0.2">
      <c r="B35" t="s">
        <v>114</v>
      </c>
      <c r="C35">
        <v>0.76329999999999998</v>
      </c>
      <c r="F35" t="s">
        <v>114</v>
      </c>
      <c r="G35">
        <v>0.76290000000000002</v>
      </c>
      <c r="J35" t="s">
        <v>114</v>
      </c>
      <c r="K35">
        <v>0.76319999999999999</v>
      </c>
      <c r="N35" t="s">
        <v>114</v>
      </c>
      <c r="O35">
        <v>0.76339999999999997</v>
      </c>
      <c r="R35" t="s">
        <v>114</v>
      </c>
      <c r="S35">
        <v>0.76359999999999995</v>
      </c>
    </row>
    <row r="36" spans="2:20" x14ac:dyDescent="0.2">
      <c r="B36" t="s">
        <v>112</v>
      </c>
      <c r="C36">
        <v>0.76239999999999997</v>
      </c>
      <c r="F36" t="s">
        <v>112</v>
      </c>
      <c r="G36">
        <v>0.76290000000000002</v>
      </c>
      <c r="J36" t="s">
        <v>112</v>
      </c>
      <c r="K36">
        <v>0.76449999999999996</v>
      </c>
      <c r="N36" t="s">
        <v>112</v>
      </c>
      <c r="O36">
        <v>0.76459999999999995</v>
      </c>
      <c r="R36" t="s">
        <v>112</v>
      </c>
      <c r="S36">
        <v>0.76459999999999995</v>
      </c>
    </row>
    <row r="37" spans="2:20" x14ac:dyDescent="0.2">
      <c r="B37" t="s">
        <v>110</v>
      </c>
      <c r="C37">
        <v>0.76280000000000003</v>
      </c>
      <c r="F37" t="s">
        <v>110</v>
      </c>
      <c r="G37">
        <v>0.7631</v>
      </c>
      <c r="J37" t="s">
        <v>110</v>
      </c>
      <c r="K37">
        <v>0.7631</v>
      </c>
      <c r="N37" t="s">
        <v>110</v>
      </c>
      <c r="O37">
        <v>0.76319999999999999</v>
      </c>
      <c r="R37" t="s">
        <v>110</v>
      </c>
      <c r="S37">
        <v>0.76329999999999998</v>
      </c>
    </row>
    <row r="38" spans="2:20" x14ac:dyDescent="0.2">
      <c r="B38" t="s">
        <v>118</v>
      </c>
      <c r="C38">
        <v>0.77790000000000004</v>
      </c>
      <c r="F38" t="s">
        <v>118</v>
      </c>
      <c r="G38">
        <v>0.78080000000000005</v>
      </c>
      <c r="J38" t="s">
        <v>118</v>
      </c>
      <c r="K38">
        <v>0.78339999999999999</v>
      </c>
      <c r="N38" t="s">
        <v>118</v>
      </c>
      <c r="O38">
        <v>0.78</v>
      </c>
      <c r="R38" t="s">
        <v>118</v>
      </c>
      <c r="S38">
        <v>0.78080000000000005</v>
      </c>
    </row>
    <row r="39" spans="2:20" x14ac:dyDescent="0.2">
      <c r="B39" t="s">
        <v>117</v>
      </c>
      <c r="C39">
        <v>0.78280000000000005</v>
      </c>
      <c r="F39" t="s">
        <v>117</v>
      </c>
      <c r="G39">
        <v>0.78149999999999997</v>
      </c>
      <c r="J39" t="s">
        <v>117</v>
      </c>
      <c r="K39">
        <v>0.78549999999999998</v>
      </c>
      <c r="N39" t="s">
        <v>117</v>
      </c>
      <c r="O39">
        <v>0.78510000000000002</v>
      </c>
      <c r="R39" t="s">
        <v>117</v>
      </c>
      <c r="S39">
        <v>0.78439999999999999</v>
      </c>
    </row>
    <row r="40" spans="2:20" x14ac:dyDescent="0.2">
      <c r="B40" t="s">
        <v>111</v>
      </c>
      <c r="C40">
        <v>0.78449999999999998</v>
      </c>
      <c r="F40" t="s">
        <v>111</v>
      </c>
      <c r="G40">
        <v>0.78410000000000002</v>
      </c>
      <c r="J40" t="s">
        <v>111</v>
      </c>
      <c r="K40">
        <v>0.7863</v>
      </c>
      <c r="N40" t="s">
        <v>111</v>
      </c>
      <c r="O40">
        <v>0.78559999999999997</v>
      </c>
      <c r="R40" t="s">
        <v>111</v>
      </c>
      <c r="S40">
        <v>0.78500000000000003</v>
      </c>
    </row>
    <row r="41" spans="2:20" x14ac:dyDescent="0.2">
      <c r="B41" t="s">
        <v>114</v>
      </c>
      <c r="C41">
        <v>0.76290000000000002</v>
      </c>
      <c r="F41" t="s">
        <v>114</v>
      </c>
      <c r="G41">
        <v>0.76249999999999996</v>
      </c>
      <c r="J41" t="s">
        <v>114</v>
      </c>
      <c r="K41">
        <v>0.76319999999999999</v>
      </c>
      <c r="N41" t="s">
        <v>114</v>
      </c>
      <c r="O41">
        <v>0.76349999999999996</v>
      </c>
      <c r="R41" t="s">
        <v>114</v>
      </c>
      <c r="S41">
        <v>0.76359999999999995</v>
      </c>
    </row>
    <row r="42" spans="2:20" x14ac:dyDescent="0.2">
      <c r="B42" t="s">
        <v>112</v>
      </c>
      <c r="C42">
        <v>0.76249999999999996</v>
      </c>
      <c r="F42" t="s">
        <v>112</v>
      </c>
      <c r="G42">
        <v>0.76339999999999997</v>
      </c>
      <c r="J42" t="s">
        <v>112</v>
      </c>
      <c r="K42">
        <v>0.76439999999999997</v>
      </c>
      <c r="N42" t="s">
        <v>112</v>
      </c>
      <c r="O42">
        <v>0.76449999999999996</v>
      </c>
      <c r="R42" t="s">
        <v>112</v>
      </c>
      <c r="S42">
        <v>0.76449999999999996</v>
      </c>
    </row>
    <row r="43" spans="2:20" x14ac:dyDescent="0.2">
      <c r="B43" t="s">
        <v>110</v>
      </c>
      <c r="C43">
        <v>0.76270000000000004</v>
      </c>
      <c r="F43" t="s">
        <v>110</v>
      </c>
      <c r="G43">
        <v>0.76319999999999999</v>
      </c>
      <c r="J43" t="s">
        <v>110</v>
      </c>
      <c r="K43">
        <v>0.76529999999999998</v>
      </c>
      <c r="N43" t="s">
        <v>110</v>
      </c>
      <c r="O43">
        <v>0.76449999999999996</v>
      </c>
      <c r="R43" t="s">
        <v>110</v>
      </c>
      <c r="S43">
        <v>0.76500000000000001</v>
      </c>
    </row>
    <row r="44" spans="2:20" x14ac:dyDescent="0.2">
      <c r="B44" t="s">
        <v>118</v>
      </c>
      <c r="C44">
        <v>0.77059999999999995</v>
      </c>
      <c r="F44" t="s">
        <v>118</v>
      </c>
      <c r="G44">
        <v>0.76459999999999995</v>
      </c>
      <c r="J44" t="s">
        <v>118</v>
      </c>
      <c r="K44">
        <v>0.77</v>
      </c>
      <c r="N44" t="s">
        <v>118</v>
      </c>
      <c r="O44">
        <v>0.7712</v>
      </c>
      <c r="R44" t="s">
        <v>118</v>
      </c>
      <c r="S44">
        <v>0.77270000000000005</v>
      </c>
    </row>
    <row r="45" spans="2:20" x14ac:dyDescent="0.2">
      <c r="B45" t="s">
        <v>117</v>
      </c>
      <c r="C45">
        <v>0.77700000000000002</v>
      </c>
      <c r="F45" t="s">
        <v>117</v>
      </c>
      <c r="G45">
        <v>0.77649999999999997</v>
      </c>
      <c r="J45" t="s">
        <v>117</v>
      </c>
      <c r="K45">
        <v>0.78159999999999996</v>
      </c>
      <c r="N45" t="s">
        <v>117</v>
      </c>
      <c r="O45">
        <v>0.78080000000000005</v>
      </c>
      <c r="R45" t="s">
        <v>117</v>
      </c>
      <c r="S45">
        <v>0.77900000000000003</v>
      </c>
    </row>
    <row r="47" spans="2:20" x14ac:dyDescent="0.2">
      <c r="B47">
        <v>0.83047143303153204</v>
      </c>
      <c r="C47">
        <v>0.83819856384639402</v>
      </c>
      <c r="D47">
        <v>0.83515454261629696</v>
      </c>
      <c r="F47">
        <v>0.82820793006556304</v>
      </c>
      <c r="G47">
        <v>0.83749609740867903</v>
      </c>
      <c r="H47">
        <v>0.83499843896347103</v>
      </c>
      <c r="J47">
        <v>0.82649181345542</v>
      </c>
      <c r="K47">
        <v>0.83999379219368298</v>
      </c>
      <c r="L47">
        <v>0.83580352293008398</v>
      </c>
      <c r="M47" s="4"/>
      <c r="N47">
        <v>0.82819896019244199</v>
      </c>
      <c r="O47">
        <v>0.83914021882517198</v>
      </c>
      <c r="P47">
        <v>0.83657949871963999</v>
      </c>
      <c r="R47">
        <v>0.83083727787692996</v>
      </c>
      <c r="S47">
        <v>0.83882982850934995</v>
      </c>
      <c r="T47">
        <v>0.83735547450919501</v>
      </c>
    </row>
    <row r="50" spans="1:20" x14ac:dyDescent="0.2">
      <c r="A50">
        <v>4</v>
      </c>
      <c r="B50" t="s">
        <v>114</v>
      </c>
      <c r="C50">
        <v>0.76319999999999999</v>
      </c>
      <c r="F50" t="s">
        <v>114</v>
      </c>
      <c r="G50">
        <v>0.76270000000000004</v>
      </c>
      <c r="J50" t="s">
        <v>114</v>
      </c>
      <c r="K50">
        <v>0.76339999999999997</v>
      </c>
      <c r="N50" t="s">
        <v>114</v>
      </c>
      <c r="O50">
        <v>0.76419999999999999</v>
      </c>
      <c r="R50" t="s">
        <v>114</v>
      </c>
      <c r="S50">
        <v>0.7641</v>
      </c>
    </row>
    <row r="51" spans="1:20" x14ac:dyDescent="0.2">
      <c r="B51" t="s">
        <v>114</v>
      </c>
      <c r="C51">
        <v>0.76329999999999998</v>
      </c>
      <c r="F51" t="s">
        <v>114</v>
      </c>
      <c r="G51">
        <v>0.76290000000000002</v>
      </c>
      <c r="J51" t="s">
        <v>114</v>
      </c>
      <c r="K51">
        <v>0.76319999999999999</v>
      </c>
      <c r="N51" t="s">
        <v>114</v>
      </c>
      <c r="O51">
        <v>0.76339999999999997</v>
      </c>
      <c r="R51" t="s">
        <v>114</v>
      </c>
      <c r="S51">
        <v>0.76359999999999995</v>
      </c>
    </row>
    <row r="52" spans="1:20" x14ac:dyDescent="0.2">
      <c r="B52" t="s">
        <v>110</v>
      </c>
      <c r="C52">
        <v>0.76280000000000003</v>
      </c>
      <c r="F52" t="s">
        <v>110</v>
      </c>
      <c r="G52">
        <v>0.7631</v>
      </c>
      <c r="J52" t="s">
        <v>110</v>
      </c>
      <c r="K52">
        <v>0.7631</v>
      </c>
      <c r="N52" t="s">
        <v>110</v>
      </c>
      <c r="O52">
        <v>0.76319999999999999</v>
      </c>
      <c r="R52" t="s">
        <v>110</v>
      </c>
      <c r="S52">
        <v>0.76329999999999998</v>
      </c>
    </row>
    <row r="53" spans="1:20" x14ac:dyDescent="0.2">
      <c r="B53" t="s">
        <v>114</v>
      </c>
      <c r="C53">
        <v>0.76290000000000002</v>
      </c>
      <c r="F53" t="s">
        <v>114</v>
      </c>
      <c r="G53">
        <v>0.76249999999999996</v>
      </c>
      <c r="J53" t="s">
        <v>114</v>
      </c>
      <c r="K53">
        <v>0.76319999999999999</v>
      </c>
      <c r="N53" t="s">
        <v>114</v>
      </c>
      <c r="O53">
        <v>0.76349999999999996</v>
      </c>
      <c r="R53" t="s">
        <v>114</v>
      </c>
      <c r="S53">
        <v>0.76359999999999995</v>
      </c>
    </row>
    <row r="54" spans="1:20" x14ac:dyDescent="0.2">
      <c r="B54" t="s">
        <v>110</v>
      </c>
      <c r="C54">
        <v>0.76270000000000004</v>
      </c>
      <c r="F54" t="s">
        <v>110</v>
      </c>
      <c r="G54">
        <v>0.76319999999999999</v>
      </c>
      <c r="J54" t="s">
        <v>110</v>
      </c>
      <c r="K54">
        <v>0.76529999999999998</v>
      </c>
      <c r="N54" t="s">
        <v>110</v>
      </c>
      <c r="O54">
        <v>0.76449999999999996</v>
      </c>
      <c r="R54" t="s">
        <v>110</v>
      </c>
      <c r="S54">
        <v>0.76500000000000001</v>
      </c>
    </row>
    <row r="55" spans="1:20" x14ac:dyDescent="0.2">
      <c r="B55" t="s">
        <v>116</v>
      </c>
      <c r="C55">
        <v>0.78400000000000003</v>
      </c>
      <c r="F55" t="s">
        <v>116</v>
      </c>
      <c r="G55">
        <v>0.78369999999999995</v>
      </c>
      <c r="J55" t="s">
        <v>116</v>
      </c>
      <c r="K55">
        <v>0.78339999999999999</v>
      </c>
      <c r="N55" t="s">
        <v>116</v>
      </c>
      <c r="O55">
        <v>0.78280000000000005</v>
      </c>
      <c r="R55" t="s">
        <v>116</v>
      </c>
      <c r="S55">
        <v>0.78220000000000001</v>
      </c>
    </row>
    <row r="56" spans="1:20" x14ac:dyDescent="0.2">
      <c r="B56" t="s">
        <v>117</v>
      </c>
      <c r="C56">
        <v>0.78280000000000005</v>
      </c>
      <c r="F56" t="s">
        <v>117</v>
      </c>
      <c r="G56">
        <v>0.78149999999999997</v>
      </c>
      <c r="J56" t="s">
        <v>117</v>
      </c>
      <c r="K56">
        <v>0.78549999999999998</v>
      </c>
      <c r="N56" t="s">
        <v>117</v>
      </c>
      <c r="O56">
        <v>0.78510000000000002</v>
      </c>
      <c r="R56" t="s">
        <v>117</v>
      </c>
      <c r="S56">
        <v>0.78439999999999999</v>
      </c>
    </row>
    <row r="57" spans="1:20" x14ac:dyDescent="0.2">
      <c r="B57" t="s">
        <v>111</v>
      </c>
      <c r="C57">
        <v>0.78449999999999998</v>
      </c>
      <c r="F57" t="s">
        <v>111</v>
      </c>
      <c r="G57">
        <v>0.78410000000000002</v>
      </c>
      <c r="J57" t="s">
        <v>111</v>
      </c>
      <c r="K57">
        <v>0.7863</v>
      </c>
      <c r="N57" t="s">
        <v>111</v>
      </c>
      <c r="O57">
        <v>0.78559999999999997</v>
      </c>
      <c r="R57" t="s">
        <v>111</v>
      </c>
      <c r="S57">
        <v>0.78500000000000003</v>
      </c>
    </row>
    <row r="58" spans="1:20" x14ac:dyDescent="0.2">
      <c r="B58" t="s">
        <v>118</v>
      </c>
      <c r="C58">
        <v>0.77059999999999995</v>
      </c>
      <c r="F58" t="s">
        <v>118</v>
      </c>
      <c r="G58">
        <v>0.76459999999999995</v>
      </c>
      <c r="J58" t="s">
        <v>118</v>
      </c>
      <c r="K58">
        <v>0.77</v>
      </c>
      <c r="N58" t="s">
        <v>118</v>
      </c>
      <c r="O58">
        <v>0.7712</v>
      </c>
      <c r="R58" t="s">
        <v>118</v>
      </c>
      <c r="S58">
        <v>0.77270000000000005</v>
      </c>
    </row>
    <row r="60" spans="1:20" x14ac:dyDescent="0.2">
      <c r="B60">
        <v>0.83062753668435796</v>
      </c>
      <c r="C60">
        <v>0.84054011863877598</v>
      </c>
      <c r="D60">
        <v>0.83585700905401095</v>
      </c>
      <c r="F60">
        <v>0.82734935997502301</v>
      </c>
      <c r="G60">
        <v>0.83897908211052097</v>
      </c>
      <c r="H60">
        <v>0.83492038713705896</v>
      </c>
      <c r="J60">
        <v>0.81733529913866598</v>
      </c>
      <c r="K60">
        <v>0.84278730503608201</v>
      </c>
      <c r="L60">
        <v>0.83324280282455099</v>
      </c>
      <c r="N60">
        <v>0.82757817956079704</v>
      </c>
      <c r="O60">
        <v>0.84232171956234902</v>
      </c>
      <c r="P60">
        <v>0.836113913245906</v>
      </c>
      <c r="R60">
        <v>0.83448436408783999</v>
      </c>
      <c r="S60">
        <v>0.84061457282532703</v>
      </c>
      <c r="T60">
        <v>0.83758826724606195</v>
      </c>
    </row>
    <row r="63" spans="1:20" x14ac:dyDescent="0.2">
      <c r="A63" t="s">
        <v>135</v>
      </c>
      <c r="B63" t="s">
        <v>112</v>
      </c>
      <c r="C63">
        <v>0.76239999999999997</v>
      </c>
      <c r="F63" t="s">
        <v>112</v>
      </c>
      <c r="G63">
        <v>0.7631</v>
      </c>
      <c r="J63" t="s">
        <v>112</v>
      </c>
      <c r="K63">
        <v>0.76429999999999998</v>
      </c>
      <c r="N63" t="s">
        <v>112</v>
      </c>
      <c r="O63">
        <v>0.76439999999999997</v>
      </c>
      <c r="R63" t="s">
        <v>112</v>
      </c>
      <c r="S63">
        <v>0.76429999999999998</v>
      </c>
    </row>
    <row r="64" spans="1:20" x14ac:dyDescent="0.2">
      <c r="B64" t="s">
        <v>110</v>
      </c>
      <c r="C64">
        <v>0.76329999999999998</v>
      </c>
      <c r="F64" t="s">
        <v>110</v>
      </c>
      <c r="G64">
        <v>0.76349999999999996</v>
      </c>
      <c r="J64" t="s">
        <v>110</v>
      </c>
      <c r="K64">
        <v>0.76500000000000001</v>
      </c>
      <c r="N64" t="s">
        <v>110</v>
      </c>
      <c r="O64">
        <v>0.76459999999999995</v>
      </c>
      <c r="R64" t="s">
        <v>110</v>
      </c>
      <c r="S64">
        <v>0.76459999999999995</v>
      </c>
    </row>
    <row r="65" spans="1:20" x14ac:dyDescent="0.2">
      <c r="B65" t="s">
        <v>118</v>
      </c>
      <c r="C65">
        <v>0.77459999999999996</v>
      </c>
      <c r="F65" t="s">
        <v>118</v>
      </c>
      <c r="G65">
        <v>0.77410000000000001</v>
      </c>
      <c r="J65" t="s">
        <v>118</v>
      </c>
      <c r="K65">
        <v>0.77959999999999996</v>
      </c>
      <c r="N65" t="s">
        <v>118</v>
      </c>
      <c r="O65">
        <v>0.77800000000000002</v>
      </c>
      <c r="R65" t="s">
        <v>118</v>
      </c>
      <c r="S65">
        <v>0.77629999999999999</v>
      </c>
    </row>
    <row r="66" spans="1:20" x14ac:dyDescent="0.2">
      <c r="B66" t="s">
        <v>116</v>
      </c>
      <c r="C66">
        <v>0.78400000000000003</v>
      </c>
      <c r="F66" t="s">
        <v>116</v>
      </c>
      <c r="G66">
        <v>0.78369999999999995</v>
      </c>
      <c r="J66" t="s">
        <v>116</v>
      </c>
      <c r="K66">
        <v>0.78339999999999999</v>
      </c>
      <c r="N66" t="s">
        <v>116</v>
      </c>
      <c r="O66">
        <v>0.78280000000000005</v>
      </c>
      <c r="R66" t="s">
        <v>116</v>
      </c>
      <c r="S66">
        <v>0.78220000000000001</v>
      </c>
    </row>
    <row r="67" spans="1:20" x14ac:dyDescent="0.2">
      <c r="B67" t="s">
        <v>118</v>
      </c>
      <c r="C67">
        <v>0.77790000000000004</v>
      </c>
      <c r="F67" t="s">
        <v>118</v>
      </c>
      <c r="G67">
        <v>0.78080000000000005</v>
      </c>
      <c r="J67" t="s">
        <v>118</v>
      </c>
      <c r="K67">
        <v>0.78339999999999999</v>
      </c>
      <c r="N67" t="s">
        <v>118</v>
      </c>
      <c r="O67">
        <v>0.78</v>
      </c>
      <c r="R67" t="s">
        <v>118</v>
      </c>
      <c r="S67">
        <v>0.78080000000000005</v>
      </c>
    </row>
    <row r="68" spans="1:20" x14ac:dyDescent="0.2">
      <c r="B68" t="s">
        <v>117</v>
      </c>
      <c r="C68">
        <v>0.78280000000000005</v>
      </c>
      <c r="F68" t="s">
        <v>117</v>
      </c>
      <c r="G68">
        <v>0.78149999999999997</v>
      </c>
      <c r="J68" t="s">
        <v>117</v>
      </c>
      <c r="K68">
        <v>0.78549999999999998</v>
      </c>
      <c r="N68" t="s">
        <v>117</v>
      </c>
      <c r="O68">
        <v>0.78510000000000002</v>
      </c>
      <c r="R68" t="s">
        <v>117</v>
      </c>
      <c r="S68">
        <v>0.78439999999999999</v>
      </c>
    </row>
    <row r="69" spans="1:20" x14ac:dyDescent="0.2">
      <c r="B69" t="s">
        <v>111</v>
      </c>
      <c r="C69">
        <v>0.78449999999999998</v>
      </c>
      <c r="F69" t="s">
        <v>111</v>
      </c>
      <c r="G69">
        <v>0.78410000000000002</v>
      </c>
      <c r="J69" t="s">
        <v>111</v>
      </c>
      <c r="K69">
        <v>0.7863</v>
      </c>
      <c r="N69" t="s">
        <v>111</v>
      </c>
      <c r="O69">
        <v>0.78559999999999997</v>
      </c>
      <c r="R69" t="s">
        <v>111</v>
      </c>
      <c r="S69">
        <v>0.78500000000000003</v>
      </c>
    </row>
    <row r="70" spans="1:20" x14ac:dyDescent="0.2">
      <c r="B70" t="s">
        <v>110</v>
      </c>
      <c r="C70">
        <v>0.76270000000000004</v>
      </c>
      <c r="F70" t="s">
        <v>110</v>
      </c>
      <c r="G70">
        <v>0.76319999999999999</v>
      </c>
      <c r="J70" t="s">
        <v>110</v>
      </c>
      <c r="K70">
        <v>0.76529999999999998</v>
      </c>
      <c r="N70" t="s">
        <v>110</v>
      </c>
      <c r="O70">
        <v>0.76449999999999996</v>
      </c>
      <c r="R70" t="s">
        <v>110</v>
      </c>
      <c r="S70">
        <v>0.76500000000000001</v>
      </c>
    </row>
    <row r="71" spans="1:20" x14ac:dyDescent="0.2">
      <c r="B71" t="s">
        <v>117</v>
      </c>
      <c r="C71">
        <v>0.77700000000000002</v>
      </c>
      <c r="F71" t="s">
        <v>117</v>
      </c>
      <c r="G71">
        <v>0.77649999999999997</v>
      </c>
      <c r="J71" t="s">
        <v>117</v>
      </c>
      <c r="K71">
        <v>0.78159999999999996</v>
      </c>
      <c r="N71" t="s">
        <v>117</v>
      </c>
      <c r="O71">
        <v>0.78080000000000005</v>
      </c>
      <c r="R71" t="s">
        <v>117</v>
      </c>
      <c r="S71">
        <v>0.77900000000000003</v>
      </c>
    </row>
    <row r="72" spans="1:20" x14ac:dyDescent="0.2">
      <c r="B72" t="s">
        <v>111</v>
      </c>
      <c r="C72">
        <v>0.76980000000000004</v>
      </c>
      <c r="F72" t="s">
        <v>111</v>
      </c>
      <c r="G72">
        <v>0.53490000000000004</v>
      </c>
      <c r="J72" t="s">
        <v>111</v>
      </c>
      <c r="K72">
        <v>0.78290000000000004</v>
      </c>
      <c r="N72" t="s">
        <v>111</v>
      </c>
      <c r="O72">
        <v>0.78029999999999999</v>
      </c>
      <c r="R72" t="s">
        <v>111</v>
      </c>
      <c r="S72">
        <v>0.77969999999999995</v>
      </c>
    </row>
    <row r="74" spans="1:20" x14ac:dyDescent="0.2">
      <c r="B74">
        <v>0.83093974399000903</v>
      </c>
      <c r="C74">
        <v>0.85060880424601903</v>
      </c>
      <c r="D74">
        <v>0.83991570402747395</v>
      </c>
      <c r="F74">
        <v>0.82336871682797297</v>
      </c>
      <c r="G74">
        <v>0.84982828598189197</v>
      </c>
      <c r="H74">
        <v>0.83741804558226596</v>
      </c>
      <c r="J74">
        <v>0.82323271513928697</v>
      </c>
      <c r="K74">
        <v>0.85411655156359101</v>
      </c>
      <c r="L74">
        <v>0.83673469387755095</v>
      </c>
      <c r="N74">
        <v>0.82548304492899804</v>
      </c>
      <c r="O74">
        <v>0.85334057577403499</v>
      </c>
      <c r="P74">
        <v>0.83789865756188397</v>
      </c>
      <c r="R74">
        <v>0.82913013113990797</v>
      </c>
      <c r="S74">
        <v>0.85279739272134703</v>
      </c>
      <c r="T74">
        <v>0.83882982850934995</v>
      </c>
    </row>
    <row r="77" spans="1:20" x14ac:dyDescent="0.2">
      <c r="A77" t="s">
        <v>136</v>
      </c>
      <c r="B77" t="s">
        <v>114</v>
      </c>
      <c r="C77">
        <v>0.76370000000000005</v>
      </c>
      <c r="F77" t="s">
        <v>114</v>
      </c>
      <c r="G77">
        <v>0.76370000000000005</v>
      </c>
      <c r="J77" t="s">
        <v>114</v>
      </c>
      <c r="K77">
        <v>0.76439999999999997</v>
      </c>
      <c r="N77" t="s">
        <v>114</v>
      </c>
      <c r="O77">
        <v>0.76539999999999997</v>
      </c>
      <c r="R77" t="s">
        <v>114</v>
      </c>
      <c r="S77">
        <v>0.76519999999999999</v>
      </c>
    </row>
    <row r="78" spans="1:20" x14ac:dyDescent="0.2">
      <c r="B78" t="s">
        <v>118</v>
      </c>
      <c r="C78">
        <v>0.77490000000000003</v>
      </c>
      <c r="F78" t="s">
        <v>118</v>
      </c>
      <c r="G78">
        <v>0.77449999999999997</v>
      </c>
      <c r="J78" t="s">
        <v>118</v>
      </c>
      <c r="K78">
        <v>0.77629999999999999</v>
      </c>
      <c r="N78" t="s">
        <v>118</v>
      </c>
      <c r="O78">
        <v>0.77859999999999996</v>
      </c>
      <c r="R78" t="s">
        <v>118</v>
      </c>
      <c r="S78">
        <v>0.77739999999999998</v>
      </c>
    </row>
    <row r="79" spans="1:20" x14ac:dyDescent="0.2">
      <c r="B79" t="s">
        <v>116</v>
      </c>
      <c r="C79">
        <v>0.78159999999999996</v>
      </c>
      <c r="F79" t="s">
        <v>116</v>
      </c>
      <c r="G79">
        <v>0.78129999999999999</v>
      </c>
      <c r="J79" t="s">
        <v>116</v>
      </c>
      <c r="K79">
        <v>0.78400000000000003</v>
      </c>
      <c r="N79" t="s">
        <v>116</v>
      </c>
      <c r="O79">
        <v>0.78420000000000001</v>
      </c>
      <c r="R79" t="s">
        <v>116</v>
      </c>
      <c r="S79">
        <v>0.78410000000000002</v>
      </c>
    </row>
    <row r="80" spans="1:20" x14ac:dyDescent="0.2">
      <c r="B80" t="s">
        <v>114</v>
      </c>
      <c r="C80">
        <v>0.76319999999999999</v>
      </c>
      <c r="F80" t="s">
        <v>114</v>
      </c>
      <c r="G80">
        <v>0.76270000000000004</v>
      </c>
      <c r="J80" t="s">
        <v>114</v>
      </c>
      <c r="K80">
        <v>0.76339999999999997</v>
      </c>
      <c r="N80" t="s">
        <v>114</v>
      </c>
      <c r="O80">
        <v>0.76419999999999999</v>
      </c>
      <c r="R80" t="s">
        <v>114</v>
      </c>
      <c r="S80">
        <v>0.7641</v>
      </c>
    </row>
    <row r="81" spans="2:20" x14ac:dyDescent="0.2">
      <c r="B81" t="s">
        <v>118</v>
      </c>
      <c r="C81">
        <v>0.77459999999999996</v>
      </c>
      <c r="F81" t="s">
        <v>118</v>
      </c>
      <c r="G81">
        <v>0.77410000000000001</v>
      </c>
      <c r="J81" t="s">
        <v>118</v>
      </c>
      <c r="K81">
        <v>0.77959999999999996</v>
      </c>
      <c r="N81" t="s">
        <v>118</v>
      </c>
      <c r="O81">
        <v>0.77800000000000002</v>
      </c>
      <c r="R81" t="s">
        <v>118</v>
      </c>
      <c r="S81">
        <v>0.77629999999999999</v>
      </c>
    </row>
    <row r="82" spans="2:20" x14ac:dyDescent="0.2">
      <c r="B82" t="s">
        <v>116</v>
      </c>
      <c r="C82">
        <v>0.78400000000000003</v>
      </c>
      <c r="F82" t="s">
        <v>116</v>
      </c>
      <c r="G82">
        <v>0.78369999999999995</v>
      </c>
      <c r="J82" t="s">
        <v>116</v>
      </c>
      <c r="K82">
        <v>0.78339999999999999</v>
      </c>
      <c r="N82" t="s">
        <v>116</v>
      </c>
      <c r="O82">
        <v>0.78280000000000005</v>
      </c>
      <c r="R82" t="s">
        <v>116</v>
      </c>
      <c r="S82">
        <v>0.78220000000000001</v>
      </c>
    </row>
    <row r="83" spans="2:20" x14ac:dyDescent="0.2">
      <c r="B83" t="s">
        <v>114</v>
      </c>
      <c r="C83">
        <v>0.76329999999999998</v>
      </c>
      <c r="F83" t="s">
        <v>114</v>
      </c>
      <c r="G83">
        <v>0.76290000000000002</v>
      </c>
      <c r="J83" t="s">
        <v>114</v>
      </c>
      <c r="K83">
        <v>0.76319999999999999</v>
      </c>
      <c r="N83" t="s">
        <v>114</v>
      </c>
      <c r="O83">
        <v>0.76339999999999997</v>
      </c>
      <c r="R83" t="s">
        <v>114</v>
      </c>
      <c r="S83">
        <v>0.76359999999999995</v>
      </c>
    </row>
    <row r="84" spans="2:20" x14ac:dyDescent="0.2">
      <c r="B84" t="s">
        <v>117</v>
      </c>
      <c r="C84">
        <v>0.78280000000000005</v>
      </c>
      <c r="F84" t="s">
        <v>117</v>
      </c>
      <c r="G84">
        <v>0.78149999999999997</v>
      </c>
      <c r="J84" t="s">
        <v>117</v>
      </c>
      <c r="K84">
        <v>0.78549999999999998</v>
      </c>
      <c r="N84" t="s">
        <v>117</v>
      </c>
      <c r="O84">
        <v>0.78510000000000002</v>
      </c>
      <c r="R84" t="s">
        <v>117</v>
      </c>
      <c r="S84">
        <v>0.78439999999999999</v>
      </c>
    </row>
    <row r="85" spans="2:20" x14ac:dyDescent="0.2">
      <c r="B85" t="s">
        <v>111</v>
      </c>
      <c r="C85">
        <v>0.78449999999999998</v>
      </c>
      <c r="F85" t="s">
        <v>111</v>
      </c>
      <c r="G85">
        <v>0.78410000000000002</v>
      </c>
      <c r="J85" t="s">
        <v>111</v>
      </c>
      <c r="K85">
        <v>0.7863</v>
      </c>
      <c r="N85" t="s">
        <v>111</v>
      </c>
      <c r="O85">
        <v>0.78559999999999997</v>
      </c>
      <c r="R85" t="s">
        <v>111</v>
      </c>
      <c r="S85">
        <v>0.78500000000000003</v>
      </c>
    </row>
    <row r="86" spans="2:20" x14ac:dyDescent="0.2">
      <c r="B86" t="s">
        <v>114</v>
      </c>
      <c r="C86">
        <v>0.76290000000000002</v>
      </c>
      <c r="F86" t="s">
        <v>114</v>
      </c>
      <c r="G86">
        <v>0.76249999999999996</v>
      </c>
      <c r="J86" t="s">
        <v>114</v>
      </c>
      <c r="K86">
        <v>0.76319999999999999</v>
      </c>
      <c r="N86" t="s">
        <v>114</v>
      </c>
      <c r="O86">
        <v>0.76349999999999996</v>
      </c>
      <c r="R86" t="s">
        <v>114</v>
      </c>
      <c r="S86">
        <v>0.76359999999999995</v>
      </c>
    </row>
    <row r="87" spans="2:20" x14ac:dyDescent="0.2">
      <c r="B87" t="s">
        <v>118</v>
      </c>
      <c r="C87">
        <v>0.77059999999999995</v>
      </c>
      <c r="F87" t="s">
        <v>118</v>
      </c>
      <c r="G87">
        <v>0.76459999999999995</v>
      </c>
      <c r="J87" t="s">
        <v>118</v>
      </c>
      <c r="K87">
        <v>0.77</v>
      </c>
      <c r="N87" t="s">
        <v>118</v>
      </c>
      <c r="O87">
        <v>0.7712</v>
      </c>
      <c r="R87" t="s">
        <v>118</v>
      </c>
      <c r="S87">
        <v>0.77270000000000005</v>
      </c>
    </row>
    <row r="88" spans="2:20" x14ac:dyDescent="0.2">
      <c r="B88" t="s">
        <v>117</v>
      </c>
      <c r="C88">
        <v>0.77700000000000002</v>
      </c>
      <c r="F88" t="s">
        <v>117</v>
      </c>
      <c r="G88">
        <v>0.77649999999999997</v>
      </c>
      <c r="J88" t="s">
        <v>117</v>
      </c>
      <c r="K88">
        <v>0.78159999999999996</v>
      </c>
      <c r="N88" t="s">
        <v>117</v>
      </c>
      <c r="O88">
        <v>0.78080000000000005</v>
      </c>
      <c r="R88" t="s">
        <v>117</v>
      </c>
      <c r="S88">
        <v>0.77900000000000003</v>
      </c>
    </row>
    <row r="90" spans="2:20" x14ac:dyDescent="0.2">
      <c r="B90">
        <v>0.82524196066187905</v>
      </c>
      <c r="C90">
        <v>0.86442397752107403</v>
      </c>
      <c r="D90">
        <v>0.84225725881985603</v>
      </c>
      <c r="F90">
        <v>0.82196378395254399</v>
      </c>
      <c r="G90">
        <v>0.86418982204183503</v>
      </c>
      <c r="H90">
        <v>0.84014985950671195</v>
      </c>
      <c r="J90">
        <v>0.81205866376969005</v>
      </c>
      <c r="K90">
        <v>0.86986886009156505</v>
      </c>
      <c r="L90">
        <v>0.83370838829828497</v>
      </c>
      <c r="N90">
        <v>0.81555055482268901</v>
      </c>
      <c r="O90">
        <v>0.87010165282843099</v>
      </c>
      <c r="P90">
        <v>0.84045937766741596</v>
      </c>
      <c r="R90">
        <v>0.81531776208582296</v>
      </c>
      <c r="S90">
        <v>0.86862729882827605</v>
      </c>
      <c r="T90">
        <v>0.84480484208892603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Reese</dc:creator>
  <cp:lastModifiedBy>Dean Reese</cp:lastModifiedBy>
  <dcterms:created xsi:type="dcterms:W3CDTF">2024-10-22T19:43:51Z</dcterms:created>
  <dcterms:modified xsi:type="dcterms:W3CDTF">2024-10-24T17:35:27Z</dcterms:modified>
</cp:coreProperties>
</file>