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an/Documents/source/ML_Trading/"/>
    </mc:Choice>
  </mc:AlternateContent>
  <xr:revisionPtr revIDLastSave="0" documentId="13_ncr:1_{34E0C3D1-3E0B-4443-86C9-D8F0FCBE884B}" xr6:coauthVersionLast="47" xr6:coauthVersionMax="47" xr10:uidLastSave="{00000000-0000-0000-0000-000000000000}"/>
  <bookViews>
    <workbookView xWindow="4380" yWindow="1860" windowWidth="28040" windowHeight="17440" activeTab="1" xr2:uid="{42E39AEE-942A-C34C-A91C-DBF96B033182}"/>
  </bookViews>
  <sheets>
    <sheet name="Raw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X35" i="1"/>
  <c r="X34" i="1"/>
  <c r="C34" i="1" s="1"/>
  <c r="X33" i="1"/>
  <c r="C33" i="1" s="1"/>
  <c r="X32" i="1"/>
  <c r="C32" i="1" s="1"/>
  <c r="X31" i="1"/>
  <c r="C31" i="1" s="1"/>
  <c r="X30" i="1"/>
  <c r="C30" i="1" s="1"/>
  <c r="X29" i="1"/>
  <c r="X28" i="1"/>
  <c r="C28" i="1" s="1"/>
  <c r="X27" i="1"/>
  <c r="X26" i="1"/>
  <c r="C26" i="1" s="1"/>
  <c r="X25" i="1"/>
  <c r="C25" i="1" s="1"/>
  <c r="X24" i="1"/>
  <c r="C24" i="1" s="1"/>
  <c r="X23" i="1"/>
  <c r="C23" i="1" s="1"/>
  <c r="X22" i="1"/>
  <c r="C22" i="1" s="1"/>
  <c r="X21" i="1"/>
  <c r="X20" i="1"/>
  <c r="C20" i="1" s="1"/>
  <c r="X19" i="1"/>
  <c r="C19" i="1" s="1"/>
  <c r="X18" i="1"/>
  <c r="C18" i="1" s="1"/>
  <c r="X17" i="1"/>
  <c r="C17" i="1" s="1"/>
  <c r="X16" i="1"/>
  <c r="C16" i="1" s="1"/>
  <c r="X15" i="1"/>
  <c r="C15" i="1" s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E35" i="1"/>
  <c r="T35" i="1" s="1"/>
  <c r="E34" i="1"/>
  <c r="Y34" i="1" s="1"/>
  <c r="E33" i="1"/>
  <c r="AD33" i="1" s="1"/>
  <c r="E32" i="1"/>
  <c r="AI32" i="1" s="1"/>
  <c r="E31" i="1"/>
  <c r="T31" i="1" s="1"/>
  <c r="E30" i="1"/>
  <c r="Y30" i="1" s="1"/>
  <c r="E29" i="1"/>
  <c r="AD29" i="1" s="1"/>
  <c r="E28" i="1"/>
  <c r="AI28" i="1" s="1"/>
  <c r="E27" i="1"/>
  <c r="T27" i="1" s="1"/>
  <c r="E26" i="1"/>
  <c r="Y26" i="1" s="1"/>
  <c r="E25" i="1"/>
  <c r="AD25" i="1" s="1"/>
  <c r="E24" i="1"/>
  <c r="AI24" i="1" s="1"/>
  <c r="E23" i="1"/>
  <c r="T23" i="1" s="1"/>
  <c r="E22" i="1"/>
  <c r="Y22" i="1" s="1"/>
  <c r="E21" i="1"/>
  <c r="AD21" i="1" s="1"/>
  <c r="E20" i="1"/>
  <c r="AI20" i="1" s="1"/>
  <c r="E19" i="1"/>
  <c r="T19" i="1" s="1"/>
  <c r="E18" i="1"/>
  <c r="Y18" i="1" s="1"/>
  <c r="E17" i="1"/>
  <c r="AD17" i="1" s="1"/>
  <c r="E16" i="1"/>
  <c r="AI16" i="1" s="1"/>
  <c r="E15" i="1"/>
  <c r="T15" i="1" s="1"/>
  <c r="AQ14" i="1"/>
  <c r="AQ13" i="1"/>
  <c r="AQ12" i="1"/>
  <c r="AQ11" i="1"/>
  <c r="AQ10" i="1"/>
  <c r="AQ9" i="1"/>
  <c r="AQ8" i="1"/>
  <c r="AQ7" i="1"/>
  <c r="AQ6" i="1"/>
  <c r="AQ5" i="1"/>
  <c r="AQ4" i="1"/>
  <c r="AQ3" i="1"/>
  <c r="AQ2" i="1"/>
  <c r="E2" i="1"/>
  <c r="O2" i="1" s="1"/>
  <c r="E14" i="1"/>
  <c r="J14" i="1" s="1"/>
  <c r="E13" i="1"/>
  <c r="Y13" i="1" s="1"/>
  <c r="E12" i="1"/>
  <c r="J12" i="1" s="1"/>
  <c r="E11" i="1"/>
  <c r="O11" i="1" s="1"/>
  <c r="E10" i="1"/>
  <c r="AD10" i="1" s="1"/>
  <c r="E9" i="1"/>
  <c r="O9" i="1" s="1"/>
  <c r="E8" i="1"/>
  <c r="AD8" i="1" s="1"/>
  <c r="E7" i="1"/>
  <c r="AI7" i="1" s="1"/>
  <c r="E6" i="1"/>
  <c r="Y6" i="1" s="1"/>
  <c r="E5" i="1"/>
  <c r="O5" i="1" s="1"/>
  <c r="E4" i="1"/>
  <c r="O4" i="1" s="1"/>
  <c r="E3" i="1"/>
  <c r="O3" i="1" s="1"/>
  <c r="AH5" i="1"/>
  <c r="AH4" i="1"/>
  <c r="AH3" i="1"/>
  <c r="AH2" i="1"/>
  <c r="AH9" i="1"/>
  <c r="AH8" i="1"/>
  <c r="AH7" i="1"/>
  <c r="AH6" i="1"/>
  <c r="AH14" i="1"/>
  <c r="AH13" i="1"/>
  <c r="AH12" i="1"/>
  <c r="AH11" i="1"/>
  <c r="AH10" i="1"/>
  <c r="AC14" i="1"/>
  <c r="AC13" i="1"/>
  <c r="AC12" i="1"/>
  <c r="AC11" i="1"/>
  <c r="AC10" i="1"/>
  <c r="X14" i="1"/>
  <c r="C14" i="1" s="1"/>
  <c r="X13" i="1"/>
  <c r="X12" i="1"/>
  <c r="C12" i="1" s="1"/>
  <c r="X11" i="1"/>
  <c r="C11" i="1" s="1"/>
  <c r="X10" i="1"/>
  <c r="C10" i="1" s="1"/>
  <c r="S14" i="1"/>
  <c r="S13" i="1"/>
  <c r="S12" i="1"/>
  <c r="S11" i="1"/>
  <c r="S10" i="1"/>
  <c r="N14" i="1"/>
  <c r="N13" i="1"/>
  <c r="N12" i="1"/>
  <c r="N11" i="1"/>
  <c r="N10" i="1"/>
  <c r="I14" i="1"/>
  <c r="I13" i="1"/>
  <c r="I12" i="1"/>
  <c r="I11" i="1"/>
  <c r="I10" i="1"/>
  <c r="AC5" i="1"/>
  <c r="AC4" i="1"/>
  <c r="AC3" i="1"/>
  <c r="AC2" i="1"/>
  <c r="AC9" i="1"/>
  <c r="AC8" i="1"/>
  <c r="AC7" i="1"/>
  <c r="AC6" i="1"/>
  <c r="X9" i="1"/>
  <c r="C9" i="1" s="1"/>
  <c r="X8" i="1"/>
  <c r="C8" i="1" s="1"/>
  <c r="X7" i="1"/>
  <c r="C7" i="1" s="1"/>
  <c r="X6" i="1"/>
  <c r="C6" i="1" s="1"/>
  <c r="X5" i="1"/>
  <c r="X4" i="1"/>
  <c r="X3" i="1"/>
  <c r="X2" i="1"/>
  <c r="I6" i="1"/>
  <c r="I7" i="1"/>
  <c r="I8" i="1"/>
  <c r="I9" i="1"/>
  <c r="N9" i="1"/>
  <c r="N8" i="1"/>
  <c r="N7" i="1"/>
  <c r="N6" i="1"/>
  <c r="S9" i="1"/>
  <c r="S8" i="1"/>
  <c r="S7" i="1"/>
  <c r="S6" i="1"/>
  <c r="S5" i="1"/>
  <c r="S4" i="1"/>
  <c r="S3" i="1"/>
  <c r="S2" i="1"/>
  <c r="N5" i="1"/>
  <c r="N4" i="1"/>
  <c r="N3" i="1"/>
  <c r="N2" i="1"/>
  <c r="I5" i="1"/>
  <c r="I4" i="1"/>
  <c r="I3" i="1"/>
  <c r="I2" i="1"/>
  <c r="C5" i="1" l="1"/>
  <c r="C27" i="1"/>
  <c r="C35" i="1"/>
  <c r="C3" i="1"/>
  <c r="C4" i="1"/>
  <c r="C13" i="1"/>
  <c r="C21" i="1"/>
  <c r="C29" i="1"/>
  <c r="J28" i="1"/>
  <c r="AR31" i="1"/>
  <c r="O29" i="1"/>
  <c r="AR23" i="1"/>
  <c r="J23" i="1"/>
  <c r="AD31" i="1"/>
  <c r="AR15" i="1"/>
  <c r="Y23" i="1"/>
  <c r="T28" i="1"/>
  <c r="AR29" i="1"/>
  <c r="O21" i="1"/>
  <c r="T20" i="1"/>
  <c r="Y28" i="1"/>
  <c r="O17" i="1"/>
  <c r="T25" i="1"/>
  <c r="J16" i="1"/>
  <c r="J22" i="1"/>
  <c r="J32" i="1"/>
  <c r="T32" i="1"/>
  <c r="Y16" i="1"/>
  <c r="Y32" i="1"/>
  <c r="AD23" i="1"/>
  <c r="AD30" i="1"/>
  <c r="AI22" i="1"/>
  <c r="AR30" i="1"/>
  <c r="O30" i="1"/>
  <c r="Y17" i="1"/>
  <c r="Y33" i="1"/>
  <c r="AI17" i="1"/>
  <c r="AR16" i="1"/>
  <c r="O25" i="1"/>
  <c r="T16" i="1"/>
  <c r="AI30" i="1"/>
  <c r="AR17" i="1"/>
  <c r="J24" i="1"/>
  <c r="AI25" i="1"/>
  <c r="J20" i="1"/>
  <c r="O33" i="1"/>
  <c r="T24" i="1"/>
  <c r="AR19" i="1"/>
  <c r="AR27" i="1"/>
  <c r="T33" i="1"/>
  <c r="AR25" i="1"/>
  <c r="J30" i="1"/>
  <c r="T17" i="1"/>
  <c r="Y24" i="1"/>
  <c r="J15" i="1"/>
  <c r="J31" i="1"/>
  <c r="O22" i="1"/>
  <c r="Y15" i="1"/>
  <c r="Y20" i="1"/>
  <c r="Y25" i="1"/>
  <c r="Y31" i="1"/>
  <c r="AD15" i="1"/>
  <c r="AD22" i="1"/>
  <c r="AI33" i="1"/>
  <c r="J34" i="1"/>
  <c r="Y19" i="1"/>
  <c r="Y27" i="1"/>
  <c r="Y35" i="1"/>
  <c r="AD18" i="1"/>
  <c r="AD26" i="1"/>
  <c r="AD34" i="1"/>
  <c r="AI21" i="1"/>
  <c r="AI29" i="1"/>
  <c r="AR18" i="1"/>
  <c r="AR24" i="1"/>
  <c r="J18" i="1"/>
  <c r="O18" i="1"/>
  <c r="AD27" i="1"/>
  <c r="AD35" i="1"/>
  <c r="AI18" i="1"/>
  <c r="J35" i="1"/>
  <c r="O34" i="1"/>
  <c r="AD19" i="1"/>
  <c r="AI34" i="1"/>
  <c r="AR26" i="1"/>
  <c r="AR32" i="1"/>
  <c r="J27" i="1"/>
  <c r="O26" i="1"/>
  <c r="T21" i="1"/>
  <c r="O15" i="1"/>
  <c r="O19" i="1"/>
  <c r="O23" i="1"/>
  <c r="O27" i="1"/>
  <c r="O31" i="1"/>
  <c r="O35" i="1"/>
  <c r="T18" i="1"/>
  <c r="T22" i="1"/>
  <c r="T26" i="1"/>
  <c r="T30" i="1"/>
  <c r="T34" i="1"/>
  <c r="Y21" i="1"/>
  <c r="Y29" i="1"/>
  <c r="AD16" i="1"/>
  <c r="AD20" i="1"/>
  <c r="AD24" i="1"/>
  <c r="AD28" i="1"/>
  <c r="AD32" i="1"/>
  <c r="AI15" i="1"/>
  <c r="AI19" i="1"/>
  <c r="AI23" i="1"/>
  <c r="AI27" i="1"/>
  <c r="AI31" i="1"/>
  <c r="AI35" i="1"/>
  <c r="AR20" i="1"/>
  <c r="AR33" i="1"/>
  <c r="J26" i="1"/>
  <c r="AI26" i="1"/>
  <c r="AR21" i="1"/>
  <c r="AR34" i="1"/>
  <c r="J19" i="1"/>
  <c r="T29" i="1"/>
  <c r="J17" i="1"/>
  <c r="J21" i="1"/>
  <c r="J25" i="1"/>
  <c r="J29" i="1"/>
  <c r="J33" i="1"/>
  <c r="O16" i="1"/>
  <c r="O20" i="1"/>
  <c r="O24" i="1"/>
  <c r="O28" i="1"/>
  <c r="O32" i="1"/>
  <c r="AR22" i="1"/>
  <c r="AR28" i="1"/>
  <c r="AR35" i="1"/>
  <c r="J9" i="1"/>
  <c r="AI4" i="1"/>
  <c r="AI12" i="1"/>
  <c r="AI5" i="1"/>
  <c r="AI13" i="1"/>
  <c r="AR11" i="1"/>
  <c r="AR9" i="1"/>
  <c r="T13" i="1"/>
  <c r="T14" i="1"/>
  <c r="O6" i="1"/>
  <c r="AI14" i="1"/>
  <c r="AD14" i="1"/>
  <c r="AR4" i="1"/>
  <c r="O12" i="1"/>
  <c r="T6" i="1"/>
  <c r="Y9" i="1"/>
  <c r="AD6" i="1"/>
  <c r="AI6" i="1"/>
  <c r="AI11" i="1"/>
  <c r="O13" i="1"/>
  <c r="AR2" i="1"/>
  <c r="J6" i="1"/>
  <c r="Y8" i="1"/>
  <c r="AR14" i="1"/>
  <c r="T12" i="1"/>
  <c r="AI8" i="1"/>
  <c r="J10" i="1"/>
  <c r="O8" i="1"/>
  <c r="AR5" i="1"/>
  <c r="T9" i="1"/>
  <c r="AI9" i="1"/>
  <c r="AR12" i="1"/>
  <c r="Y12" i="1"/>
  <c r="J11" i="1"/>
  <c r="AD9" i="1"/>
  <c r="AR6" i="1"/>
  <c r="AR13" i="1"/>
  <c r="Y14" i="1"/>
  <c r="J13" i="1"/>
  <c r="O10" i="1"/>
  <c r="AD11" i="1"/>
  <c r="J7" i="1"/>
  <c r="T7" i="1"/>
  <c r="AD7" i="1"/>
  <c r="AR7" i="1"/>
  <c r="AD12" i="1"/>
  <c r="T10" i="1"/>
  <c r="J8" i="1"/>
  <c r="T8" i="1"/>
  <c r="AR8" i="1"/>
  <c r="AI10" i="1"/>
  <c r="AD13" i="1"/>
  <c r="T11" i="1"/>
  <c r="O14" i="1"/>
  <c r="AI2" i="1"/>
  <c r="AR10" i="1"/>
  <c r="Y10" i="1"/>
  <c r="AI3" i="1"/>
  <c r="AR3" i="1"/>
  <c r="O7" i="1"/>
  <c r="Y7" i="1"/>
  <c r="Y11" i="1"/>
  <c r="T2" i="1"/>
  <c r="T3" i="1"/>
  <c r="Y2" i="1"/>
  <c r="AD2" i="1"/>
  <c r="AD3" i="1"/>
  <c r="AD4" i="1"/>
  <c r="AD5" i="1"/>
  <c r="J4" i="1"/>
  <c r="Y3" i="1"/>
  <c r="Y4" i="1"/>
  <c r="Y5" i="1"/>
  <c r="J3" i="1"/>
  <c r="T4" i="1"/>
  <c r="T5" i="1"/>
  <c r="J2" i="1"/>
  <c r="J5" i="1"/>
</calcChain>
</file>

<file path=xl/sharedStrings.xml><?xml version="1.0" encoding="utf-8"?>
<sst xmlns="http://schemas.openxmlformats.org/spreadsheetml/2006/main" count="121" uniqueCount="59">
  <si>
    <t>RSI7</t>
  </si>
  <si>
    <t>RSI9</t>
  </si>
  <si>
    <t>RSI14</t>
  </si>
  <si>
    <t>RSI5</t>
  </si>
  <si>
    <t>S773D</t>
  </si>
  <si>
    <t>S773K</t>
  </si>
  <si>
    <t>S7143K</t>
  </si>
  <si>
    <t>S7143D</t>
  </si>
  <si>
    <t>Osc</t>
  </si>
  <si>
    <t>U90</t>
  </si>
  <si>
    <t>D90</t>
  </si>
  <si>
    <t>U8090</t>
  </si>
  <si>
    <t>D8090</t>
  </si>
  <si>
    <t>U7080</t>
  </si>
  <si>
    <t>D7080</t>
  </si>
  <si>
    <t>U2030</t>
  </si>
  <si>
    <t>D2030</t>
  </si>
  <si>
    <t>U1020</t>
  </si>
  <si>
    <t>D1020</t>
  </si>
  <si>
    <t>U10</t>
  </si>
  <si>
    <t>D10</t>
  </si>
  <si>
    <t>N90</t>
  </si>
  <si>
    <t>N8090</t>
  </si>
  <si>
    <t>N7080</t>
  </si>
  <si>
    <t>N2030</t>
  </si>
  <si>
    <t>N1020</t>
  </si>
  <si>
    <t>N10</t>
  </si>
  <si>
    <t>Total</t>
  </si>
  <si>
    <t>RSI2</t>
  </si>
  <si>
    <t>RSI3</t>
  </si>
  <si>
    <t>RSICOMP</t>
  </si>
  <si>
    <t>COMP2</t>
  </si>
  <si>
    <t>COMP3</t>
  </si>
  <si>
    <t>PctDown</t>
  </si>
  <si>
    <t>PctUp</t>
  </si>
  <si>
    <t>PctTotal</t>
  </si>
  <si>
    <t>S7143K2</t>
  </si>
  <si>
    <t>S7143D2</t>
  </si>
  <si>
    <t>S773K2</t>
  </si>
  <si>
    <t>S773D2</t>
  </si>
  <si>
    <t>RSI32</t>
  </si>
  <si>
    <t>RSI52</t>
  </si>
  <si>
    <t>RSI72</t>
  </si>
  <si>
    <t>RSI92</t>
  </si>
  <si>
    <t>RSI142</t>
  </si>
  <si>
    <t>S773D3</t>
  </si>
  <si>
    <t>S773K3</t>
  </si>
  <si>
    <t>RSI143</t>
  </si>
  <si>
    <t>RSI93</t>
  </si>
  <si>
    <t>RSI73</t>
  </si>
  <si>
    <t>RSI53</t>
  </si>
  <si>
    <t>COMP12</t>
  </si>
  <si>
    <t>COMP22</t>
  </si>
  <si>
    <t>COMP32</t>
  </si>
  <si>
    <t>COMP33</t>
  </si>
  <si>
    <t>COMP23</t>
  </si>
  <si>
    <t>COMP13</t>
  </si>
  <si>
    <t>TriggerBuy</t>
  </si>
  <si>
    <t>TriggerSell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</si>
</sst>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1F03A-B737-4F46-B30F-3E4D099EB529}">
  <dimension ref="A1:S35"/>
  <sheetViews>
    <sheetView workbookViewId="0">
      <selection sqref="A1:S35"/>
    </sheetView>
  </sheetViews>
  <sheetFormatPr baseColWidth="10" defaultRowHeight="16" x14ac:dyDescent="0.2"/>
  <cols>
    <col min="1" max="16384" width="10.83203125" style="2"/>
  </cols>
  <sheetData>
    <row r="1" spans="1:19" x14ac:dyDescent="0.2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</row>
    <row r="2" spans="1:19" x14ac:dyDescent="0.2">
      <c r="A2" s="2" t="s">
        <v>0</v>
      </c>
      <c r="B2" s="2">
        <v>428</v>
      </c>
      <c r="C2" s="2">
        <v>450</v>
      </c>
      <c r="D2" s="2">
        <v>3620</v>
      </c>
      <c r="E2" s="2">
        <v>3815</v>
      </c>
      <c r="F2" s="2">
        <v>10388</v>
      </c>
      <c r="G2" s="2">
        <v>10897</v>
      </c>
      <c r="H2" s="2">
        <v>9663</v>
      </c>
      <c r="I2" s="2">
        <v>8446</v>
      </c>
      <c r="J2" s="2">
        <v>3382</v>
      </c>
      <c r="K2" s="2">
        <v>2854</v>
      </c>
      <c r="L2" s="2">
        <v>448</v>
      </c>
      <c r="M2" s="2">
        <v>401</v>
      </c>
      <c r="N2" s="2">
        <v>39</v>
      </c>
      <c r="O2" s="2">
        <v>492</v>
      </c>
      <c r="P2" s="2">
        <v>1749</v>
      </c>
      <c r="Q2" s="2">
        <v>948</v>
      </c>
      <c r="R2" s="2">
        <v>288</v>
      </c>
      <c r="S2" s="2">
        <v>32</v>
      </c>
    </row>
    <row r="3" spans="1:19" x14ac:dyDescent="0.2">
      <c r="A3" s="2" t="s">
        <v>1</v>
      </c>
      <c r="B3" s="2">
        <v>153</v>
      </c>
      <c r="C3" s="2">
        <v>156</v>
      </c>
      <c r="D3" s="2">
        <v>2161</v>
      </c>
      <c r="E3" s="2">
        <v>2325</v>
      </c>
      <c r="F3" s="2">
        <v>8758</v>
      </c>
      <c r="G3" s="2">
        <v>8955</v>
      </c>
      <c r="H3" s="2">
        <v>7883</v>
      </c>
      <c r="I3" s="2">
        <v>6983</v>
      </c>
      <c r="J3" s="2">
        <v>2045</v>
      </c>
      <c r="K3" s="2">
        <v>1735</v>
      </c>
      <c r="L3" s="2">
        <v>178</v>
      </c>
      <c r="M3" s="2">
        <v>165</v>
      </c>
      <c r="N3" s="2">
        <v>13</v>
      </c>
      <c r="O3" s="2">
        <v>278</v>
      </c>
      <c r="P3" s="2">
        <v>1400</v>
      </c>
      <c r="Q3" s="2">
        <v>707</v>
      </c>
      <c r="R3" s="2">
        <v>154</v>
      </c>
      <c r="S3" s="2">
        <v>7</v>
      </c>
    </row>
    <row r="4" spans="1:19" x14ac:dyDescent="0.2">
      <c r="A4" s="2" t="s">
        <v>2</v>
      </c>
      <c r="B4" s="2">
        <v>21</v>
      </c>
      <c r="C4" s="2">
        <v>24</v>
      </c>
      <c r="D4" s="2">
        <v>694</v>
      </c>
      <c r="E4" s="2">
        <v>694</v>
      </c>
      <c r="F4" s="2">
        <v>5616</v>
      </c>
      <c r="G4" s="2">
        <v>5651</v>
      </c>
      <c r="H4" s="2">
        <v>4902</v>
      </c>
      <c r="I4" s="2">
        <v>4372</v>
      </c>
      <c r="J4" s="2">
        <v>679</v>
      </c>
      <c r="K4" s="2">
        <v>595</v>
      </c>
      <c r="L4" s="2">
        <v>32</v>
      </c>
      <c r="M4" s="2">
        <v>33</v>
      </c>
      <c r="N4" s="2">
        <v>1</v>
      </c>
      <c r="O4" s="2">
        <v>60</v>
      </c>
      <c r="P4" s="2">
        <v>840</v>
      </c>
      <c r="Q4" s="2">
        <v>388</v>
      </c>
      <c r="R4" s="2">
        <v>42</v>
      </c>
      <c r="S4" s="2">
        <v>2</v>
      </c>
    </row>
    <row r="5" spans="1:19" x14ac:dyDescent="0.2">
      <c r="A5" s="2" t="s">
        <v>3</v>
      </c>
      <c r="B5" s="2">
        <v>1394</v>
      </c>
      <c r="C5" s="2">
        <v>1520</v>
      </c>
      <c r="D5" s="2">
        <v>6189</v>
      </c>
      <c r="E5" s="2">
        <v>6548</v>
      </c>
      <c r="F5" s="2">
        <v>12074</v>
      </c>
      <c r="G5" s="2">
        <v>12809</v>
      </c>
      <c r="H5" s="2">
        <v>11537</v>
      </c>
      <c r="I5" s="2">
        <v>10078</v>
      </c>
      <c r="J5" s="2">
        <v>5857</v>
      </c>
      <c r="K5" s="2">
        <v>4973</v>
      </c>
      <c r="L5" s="2">
        <v>1425</v>
      </c>
      <c r="M5" s="2">
        <v>1185</v>
      </c>
      <c r="N5" s="2">
        <v>177</v>
      </c>
      <c r="O5" s="2">
        <v>996</v>
      </c>
      <c r="P5" s="2">
        <v>1935</v>
      </c>
      <c r="Q5" s="2">
        <v>1253</v>
      </c>
      <c r="R5" s="2">
        <v>568</v>
      </c>
      <c r="S5" s="2">
        <v>102</v>
      </c>
    </row>
    <row r="6" spans="1:19" x14ac:dyDescent="0.2">
      <c r="A6" s="2" t="s">
        <v>4</v>
      </c>
      <c r="B6" s="2">
        <v>1294</v>
      </c>
      <c r="C6" s="2">
        <v>1323</v>
      </c>
      <c r="D6" s="2">
        <v>10320</v>
      </c>
      <c r="E6" s="2">
        <v>9954</v>
      </c>
      <c r="F6" s="2">
        <v>15158</v>
      </c>
      <c r="G6" s="2">
        <v>14802</v>
      </c>
      <c r="H6" s="2">
        <v>12546</v>
      </c>
      <c r="I6" s="2">
        <v>11721</v>
      </c>
      <c r="J6" s="2">
        <v>7133</v>
      </c>
      <c r="K6" s="2">
        <v>6695</v>
      </c>
      <c r="L6" s="2">
        <v>622</v>
      </c>
      <c r="M6" s="2">
        <v>620</v>
      </c>
      <c r="N6" s="2">
        <v>224</v>
      </c>
      <c r="O6" s="2">
        <v>1546</v>
      </c>
      <c r="P6" s="2">
        <v>2305</v>
      </c>
      <c r="Q6" s="2">
        <v>1521</v>
      </c>
      <c r="R6" s="2">
        <v>768</v>
      </c>
      <c r="S6" s="2">
        <v>188</v>
      </c>
    </row>
    <row r="7" spans="1:19" x14ac:dyDescent="0.2">
      <c r="A7" s="2" t="s">
        <v>5</v>
      </c>
      <c r="B7" s="2">
        <v>6143</v>
      </c>
      <c r="C7" s="2">
        <v>6430</v>
      </c>
      <c r="D7" s="2">
        <v>14715</v>
      </c>
      <c r="E7" s="2">
        <v>14622</v>
      </c>
      <c r="F7" s="2">
        <v>13963</v>
      </c>
      <c r="G7" s="2">
        <v>13546</v>
      </c>
      <c r="H7" s="2">
        <v>12875</v>
      </c>
      <c r="I7" s="2">
        <v>12080</v>
      </c>
      <c r="J7" s="2">
        <v>12370</v>
      </c>
      <c r="K7" s="2">
        <v>11301</v>
      </c>
      <c r="L7" s="2">
        <v>4361</v>
      </c>
      <c r="M7" s="2">
        <v>3666</v>
      </c>
      <c r="N7" s="2">
        <v>993</v>
      </c>
      <c r="O7" s="2">
        <v>2249</v>
      </c>
      <c r="P7" s="2">
        <v>2078</v>
      </c>
      <c r="Q7" s="2">
        <v>1555</v>
      </c>
      <c r="R7" s="2">
        <v>1452</v>
      </c>
      <c r="S7" s="2">
        <v>559</v>
      </c>
    </row>
    <row r="8" spans="1:19" x14ac:dyDescent="0.2">
      <c r="A8" s="2" t="s">
        <v>6</v>
      </c>
      <c r="B8" s="2">
        <v>8982</v>
      </c>
      <c r="C8" s="2">
        <v>9303</v>
      </c>
      <c r="D8" s="2">
        <v>15851</v>
      </c>
      <c r="E8" s="2">
        <v>15515</v>
      </c>
      <c r="F8" s="2">
        <v>12921</v>
      </c>
      <c r="G8" s="2">
        <v>12550</v>
      </c>
      <c r="H8" s="2">
        <v>12077</v>
      </c>
      <c r="I8" s="2">
        <v>11260</v>
      </c>
      <c r="J8" s="2">
        <v>12960</v>
      </c>
      <c r="K8" s="2">
        <v>12111</v>
      </c>
      <c r="L8" s="2">
        <v>6031</v>
      </c>
      <c r="M8" s="2">
        <v>5246</v>
      </c>
      <c r="N8" s="2">
        <v>1425</v>
      </c>
      <c r="O8" s="2">
        <v>2456</v>
      </c>
      <c r="P8" s="2">
        <v>1973</v>
      </c>
      <c r="Q8" s="2">
        <v>1443</v>
      </c>
      <c r="R8" s="2">
        <v>1501</v>
      </c>
      <c r="S8" s="2">
        <v>730</v>
      </c>
    </row>
    <row r="9" spans="1:19" x14ac:dyDescent="0.2">
      <c r="A9" s="2" t="s">
        <v>7</v>
      </c>
      <c r="B9" s="2">
        <v>4537</v>
      </c>
      <c r="C9" s="2">
        <v>4249</v>
      </c>
      <c r="D9" s="2">
        <v>14877</v>
      </c>
      <c r="E9" s="2">
        <v>14703</v>
      </c>
      <c r="F9" s="2">
        <v>14904</v>
      </c>
      <c r="G9" s="2">
        <v>14711</v>
      </c>
      <c r="H9" s="2">
        <v>13097</v>
      </c>
      <c r="I9" s="2">
        <v>12114</v>
      </c>
      <c r="J9" s="2">
        <v>11174</v>
      </c>
      <c r="K9" s="2">
        <v>10542</v>
      </c>
      <c r="L9" s="2">
        <v>2108</v>
      </c>
      <c r="M9" s="2">
        <v>2003</v>
      </c>
      <c r="N9" s="2">
        <v>657</v>
      </c>
      <c r="O9" s="2">
        <v>2356</v>
      </c>
      <c r="P9" s="2">
        <v>2237</v>
      </c>
      <c r="Q9" s="2">
        <v>1616</v>
      </c>
      <c r="R9" s="2">
        <v>1196</v>
      </c>
      <c r="S9" s="2">
        <v>328</v>
      </c>
    </row>
    <row r="10" spans="1:19" x14ac:dyDescent="0.2">
      <c r="A10" s="2" t="s">
        <v>28</v>
      </c>
      <c r="B10" s="2">
        <v>14219</v>
      </c>
      <c r="C10" s="2">
        <v>15378</v>
      </c>
      <c r="D10" s="2">
        <v>11861</v>
      </c>
      <c r="E10" s="2">
        <v>12273</v>
      </c>
      <c r="F10" s="2">
        <v>10748</v>
      </c>
      <c r="G10" s="2">
        <v>10501</v>
      </c>
      <c r="H10" s="2">
        <v>10150</v>
      </c>
      <c r="I10" s="2">
        <v>9421</v>
      </c>
      <c r="J10" s="2">
        <v>11768</v>
      </c>
      <c r="K10" s="2">
        <v>10353</v>
      </c>
      <c r="L10" s="2">
        <v>14255</v>
      </c>
      <c r="M10" s="2">
        <v>12270</v>
      </c>
      <c r="N10" s="2">
        <v>2323</v>
      </c>
      <c r="O10" s="2">
        <v>1738</v>
      </c>
      <c r="P10" s="2">
        <v>1573</v>
      </c>
      <c r="Q10" s="2">
        <v>1355</v>
      </c>
      <c r="R10" s="2">
        <v>1507</v>
      </c>
      <c r="S10" s="2">
        <v>1567</v>
      </c>
    </row>
    <row r="11" spans="1:19" x14ac:dyDescent="0.2">
      <c r="A11" s="2" t="s">
        <v>29</v>
      </c>
      <c r="B11" s="2">
        <v>5933</v>
      </c>
      <c r="C11" s="2">
        <v>6332</v>
      </c>
      <c r="D11" s="2">
        <v>10275</v>
      </c>
      <c r="E11" s="2">
        <v>11078</v>
      </c>
      <c r="F11" s="2">
        <v>12747</v>
      </c>
      <c r="G11" s="2">
        <v>12824</v>
      </c>
      <c r="H11" s="2">
        <v>12058</v>
      </c>
      <c r="I11" s="2">
        <v>10941</v>
      </c>
      <c r="J11" s="2">
        <v>9969</v>
      </c>
      <c r="K11" s="2">
        <v>8767</v>
      </c>
      <c r="L11" s="2">
        <v>6002</v>
      </c>
      <c r="M11" s="2">
        <v>4950</v>
      </c>
      <c r="N11" s="2">
        <v>965</v>
      </c>
      <c r="O11" s="2">
        <v>1576</v>
      </c>
      <c r="P11" s="2">
        <v>1940</v>
      </c>
      <c r="Q11" s="2">
        <v>1452</v>
      </c>
      <c r="R11" s="2">
        <v>1142</v>
      </c>
      <c r="S11" s="2">
        <v>577</v>
      </c>
    </row>
    <row r="12" spans="1:19" x14ac:dyDescent="0.2">
      <c r="A12" s="2" t="s">
        <v>30</v>
      </c>
      <c r="B12" s="2">
        <v>363</v>
      </c>
      <c r="C12" s="2">
        <v>371</v>
      </c>
      <c r="D12" s="2">
        <v>3885</v>
      </c>
      <c r="E12" s="2">
        <v>4128</v>
      </c>
      <c r="F12" s="2">
        <v>11111</v>
      </c>
      <c r="G12" s="2">
        <v>11727</v>
      </c>
      <c r="H12" s="2">
        <v>10420</v>
      </c>
      <c r="I12" s="2">
        <v>9016</v>
      </c>
      <c r="J12" s="2">
        <v>3675</v>
      </c>
      <c r="K12" s="2">
        <v>3094</v>
      </c>
      <c r="L12" s="2">
        <v>376</v>
      </c>
      <c r="M12" s="2">
        <v>348</v>
      </c>
      <c r="N12" s="2">
        <v>33</v>
      </c>
      <c r="O12" s="2">
        <v>564</v>
      </c>
      <c r="P12" s="2">
        <v>1819</v>
      </c>
      <c r="Q12" s="2">
        <v>1083</v>
      </c>
      <c r="R12" s="2">
        <v>307</v>
      </c>
      <c r="S12" s="2">
        <v>27</v>
      </c>
    </row>
    <row r="13" spans="1:19" x14ac:dyDescent="0.2">
      <c r="A13" s="2" t="s">
        <v>31</v>
      </c>
      <c r="B13" s="2">
        <v>507</v>
      </c>
      <c r="C13" s="2">
        <v>530</v>
      </c>
      <c r="D13" s="2">
        <v>6044</v>
      </c>
      <c r="E13" s="2">
        <v>6375</v>
      </c>
      <c r="F13" s="2">
        <v>13771</v>
      </c>
      <c r="G13" s="2">
        <v>14255</v>
      </c>
      <c r="H13" s="2">
        <v>11976</v>
      </c>
      <c r="I13" s="2">
        <v>10752</v>
      </c>
      <c r="J13" s="2">
        <v>5285</v>
      </c>
      <c r="K13" s="2">
        <v>4469</v>
      </c>
      <c r="L13" s="2">
        <v>494</v>
      </c>
      <c r="M13" s="2">
        <v>413</v>
      </c>
      <c r="N13" s="2">
        <v>48</v>
      </c>
      <c r="O13" s="2">
        <v>948</v>
      </c>
      <c r="P13" s="2">
        <v>2238</v>
      </c>
      <c r="Q13" s="2">
        <v>1393</v>
      </c>
      <c r="R13" s="2">
        <v>482</v>
      </c>
      <c r="S13" s="2">
        <v>29</v>
      </c>
    </row>
    <row r="14" spans="1:19" x14ac:dyDescent="0.2">
      <c r="A14" s="2" t="s">
        <v>32</v>
      </c>
      <c r="B14" s="2">
        <v>6328</v>
      </c>
      <c r="C14" s="2">
        <v>6609</v>
      </c>
      <c r="D14" s="2">
        <v>14483</v>
      </c>
      <c r="E14" s="2">
        <v>14233</v>
      </c>
      <c r="F14" s="2">
        <v>13549</v>
      </c>
      <c r="G14" s="2">
        <v>13439</v>
      </c>
      <c r="H14" s="2">
        <v>12298</v>
      </c>
      <c r="I14" s="2">
        <v>11508</v>
      </c>
      <c r="J14" s="2">
        <v>11755</v>
      </c>
      <c r="K14" s="2">
        <v>10774</v>
      </c>
      <c r="L14" s="2">
        <v>4394</v>
      </c>
      <c r="M14" s="2">
        <v>3729</v>
      </c>
      <c r="N14" s="2">
        <v>1016</v>
      </c>
      <c r="O14" s="2">
        <v>2199</v>
      </c>
      <c r="P14" s="2">
        <v>2103</v>
      </c>
      <c r="Q14" s="2">
        <v>1449</v>
      </c>
      <c r="R14" s="2">
        <v>1338</v>
      </c>
      <c r="S14" s="2">
        <v>556</v>
      </c>
    </row>
    <row r="15" spans="1:19" x14ac:dyDescent="0.2">
      <c r="A15" s="2" t="s">
        <v>36</v>
      </c>
      <c r="B15" s="2">
        <v>9164</v>
      </c>
      <c r="C15" s="2">
        <v>9368</v>
      </c>
      <c r="D15" s="2">
        <v>16274</v>
      </c>
      <c r="E15" s="2">
        <v>15918</v>
      </c>
      <c r="F15" s="2">
        <v>13413</v>
      </c>
      <c r="G15" s="2">
        <v>12702</v>
      </c>
      <c r="H15" s="2">
        <v>12311</v>
      </c>
      <c r="I15" s="2">
        <v>11401</v>
      </c>
      <c r="J15" s="2">
        <v>13128</v>
      </c>
      <c r="K15" s="2">
        <v>12404</v>
      </c>
      <c r="L15" s="2">
        <v>6143</v>
      </c>
      <c r="M15" s="2">
        <v>5266</v>
      </c>
      <c r="N15" s="2">
        <v>1069</v>
      </c>
      <c r="O15" s="2">
        <v>1635</v>
      </c>
      <c r="P15" s="2">
        <v>1354</v>
      </c>
      <c r="Q15" s="2">
        <v>1103</v>
      </c>
      <c r="R15" s="2">
        <v>1060</v>
      </c>
      <c r="S15" s="2">
        <v>540</v>
      </c>
    </row>
    <row r="16" spans="1:19" x14ac:dyDescent="0.2">
      <c r="A16" s="2" t="s">
        <v>37</v>
      </c>
      <c r="B16" s="2">
        <v>4573</v>
      </c>
      <c r="C16" s="2">
        <v>4259</v>
      </c>
      <c r="D16" s="2">
        <v>15201</v>
      </c>
      <c r="E16" s="2">
        <v>15177</v>
      </c>
      <c r="F16" s="2">
        <v>15370</v>
      </c>
      <c r="G16" s="2">
        <v>14910</v>
      </c>
      <c r="H16" s="2">
        <v>13462</v>
      </c>
      <c r="I16" s="2">
        <v>12283</v>
      </c>
      <c r="J16" s="2">
        <v>11394</v>
      </c>
      <c r="K16" s="2">
        <v>10550</v>
      </c>
      <c r="L16" s="2">
        <v>2109</v>
      </c>
      <c r="M16" s="2">
        <v>2016</v>
      </c>
      <c r="N16" s="2">
        <v>495</v>
      </c>
      <c r="O16" s="2">
        <v>1553</v>
      </c>
      <c r="P16" s="2">
        <v>1636</v>
      </c>
      <c r="Q16" s="2">
        <v>1131</v>
      </c>
      <c r="R16" s="2">
        <v>935</v>
      </c>
      <c r="S16" s="2">
        <v>262</v>
      </c>
    </row>
    <row r="17" spans="1:19" x14ac:dyDescent="0.2">
      <c r="A17" s="2" t="s">
        <v>38</v>
      </c>
      <c r="B17" s="2">
        <v>6344</v>
      </c>
      <c r="C17" s="2">
        <v>6438</v>
      </c>
      <c r="D17" s="2">
        <v>15157</v>
      </c>
      <c r="E17" s="2">
        <v>14851</v>
      </c>
      <c r="F17" s="2">
        <v>14383</v>
      </c>
      <c r="G17" s="2">
        <v>13818</v>
      </c>
      <c r="H17" s="2">
        <v>13073</v>
      </c>
      <c r="I17" s="2">
        <v>12329</v>
      </c>
      <c r="J17" s="2">
        <v>12536</v>
      </c>
      <c r="K17" s="2">
        <v>11573</v>
      </c>
      <c r="L17" s="2">
        <v>4430</v>
      </c>
      <c r="M17" s="2">
        <v>3709</v>
      </c>
      <c r="N17" s="2">
        <v>737</v>
      </c>
      <c r="O17" s="2">
        <v>1559</v>
      </c>
      <c r="P17" s="2">
        <v>1390</v>
      </c>
      <c r="Q17" s="2">
        <v>1156</v>
      </c>
      <c r="R17" s="2">
        <v>1026</v>
      </c>
      <c r="S17" s="2">
        <v>437</v>
      </c>
    </row>
    <row r="18" spans="1:19" x14ac:dyDescent="0.2">
      <c r="A18" s="2" t="s">
        <v>39</v>
      </c>
      <c r="B18" s="2">
        <v>1246</v>
      </c>
      <c r="C18" s="2">
        <v>1351</v>
      </c>
      <c r="D18" s="2">
        <v>10539</v>
      </c>
      <c r="E18" s="2">
        <v>10186</v>
      </c>
      <c r="F18" s="2">
        <v>15629</v>
      </c>
      <c r="G18" s="2">
        <v>15059</v>
      </c>
      <c r="H18" s="2">
        <v>12771</v>
      </c>
      <c r="I18" s="2">
        <v>11909</v>
      </c>
      <c r="J18" s="2">
        <v>7279</v>
      </c>
      <c r="K18" s="2">
        <v>6758</v>
      </c>
      <c r="L18" s="2">
        <v>619</v>
      </c>
      <c r="M18" s="2">
        <v>624</v>
      </c>
      <c r="N18" s="2">
        <v>184</v>
      </c>
      <c r="O18" s="2">
        <v>1071</v>
      </c>
      <c r="P18" s="2">
        <v>1583</v>
      </c>
      <c r="Q18" s="2">
        <v>1121</v>
      </c>
      <c r="R18" s="2">
        <v>537</v>
      </c>
      <c r="S18" s="2">
        <v>178</v>
      </c>
    </row>
    <row r="19" spans="1:19" x14ac:dyDescent="0.2">
      <c r="A19" s="2" t="s">
        <v>40</v>
      </c>
      <c r="B19" s="2">
        <v>6111</v>
      </c>
      <c r="C19" s="2">
        <v>6486</v>
      </c>
      <c r="D19" s="2">
        <v>10677</v>
      </c>
      <c r="E19" s="2">
        <v>11053</v>
      </c>
      <c r="F19" s="2">
        <v>13236</v>
      </c>
      <c r="G19" s="2">
        <v>12906</v>
      </c>
      <c r="H19" s="2">
        <v>12245</v>
      </c>
      <c r="I19" s="2">
        <v>11194</v>
      </c>
      <c r="J19" s="2">
        <v>10096</v>
      </c>
      <c r="K19" s="2">
        <v>8966</v>
      </c>
      <c r="L19" s="2">
        <v>6005</v>
      </c>
      <c r="M19" s="2">
        <v>5119</v>
      </c>
      <c r="N19" s="2">
        <v>655</v>
      </c>
      <c r="O19" s="2">
        <v>1211</v>
      </c>
      <c r="P19" s="2">
        <v>1359</v>
      </c>
      <c r="Q19" s="2">
        <v>1060</v>
      </c>
      <c r="R19" s="2">
        <v>828</v>
      </c>
      <c r="S19" s="2">
        <v>421</v>
      </c>
    </row>
    <row r="20" spans="1:19" x14ac:dyDescent="0.2">
      <c r="A20" s="2" t="s">
        <v>41</v>
      </c>
      <c r="B20" s="2">
        <v>1418</v>
      </c>
      <c r="C20" s="2">
        <v>1547</v>
      </c>
      <c r="D20" s="2">
        <v>6401</v>
      </c>
      <c r="E20" s="2">
        <v>6624</v>
      </c>
      <c r="F20" s="2">
        <v>12590</v>
      </c>
      <c r="G20" s="2">
        <v>12877</v>
      </c>
      <c r="H20" s="2">
        <v>11618</v>
      </c>
      <c r="I20" s="2">
        <v>10307</v>
      </c>
      <c r="J20" s="2">
        <v>5882</v>
      </c>
      <c r="K20" s="2">
        <v>5113</v>
      </c>
      <c r="L20" s="2">
        <v>1432</v>
      </c>
      <c r="M20" s="2">
        <v>1217</v>
      </c>
      <c r="N20" s="2">
        <v>132</v>
      </c>
      <c r="O20" s="2">
        <v>718</v>
      </c>
      <c r="P20" s="2">
        <v>1360</v>
      </c>
      <c r="Q20" s="2">
        <v>976</v>
      </c>
      <c r="R20" s="2">
        <v>408</v>
      </c>
      <c r="S20" s="2">
        <v>72</v>
      </c>
    </row>
    <row r="21" spans="1:19" x14ac:dyDescent="0.2">
      <c r="A21" s="2" t="s">
        <v>42</v>
      </c>
      <c r="B21" s="2">
        <v>428</v>
      </c>
      <c r="C21" s="2">
        <v>456</v>
      </c>
      <c r="D21" s="2">
        <v>3689</v>
      </c>
      <c r="E21" s="2">
        <v>3863</v>
      </c>
      <c r="F21" s="2">
        <v>10799</v>
      </c>
      <c r="G21" s="2">
        <v>11080</v>
      </c>
      <c r="H21" s="2">
        <v>9700</v>
      </c>
      <c r="I21" s="2">
        <v>8679</v>
      </c>
      <c r="J21" s="2">
        <v>3419</v>
      </c>
      <c r="K21" s="2">
        <v>2898</v>
      </c>
      <c r="L21" s="2">
        <v>447</v>
      </c>
      <c r="M21" s="2">
        <v>420</v>
      </c>
      <c r="N21" s="2">
        <v>37</v>
      </c>
      <c r="O21" s="2">
        <v>370</v>
      </c>
      <c r="P21" s="2">
        <v>1180</v>
      </c>
      <c r="Q21" s="2">
        <v>683</v>
      </c>
      <c r="R21" s="2">
        <v>223</v>
      </c>
      <c r="S21" s="2">
        <v>20</v>
      </c>
    </row>
    <row r="22" spans="1:19" x14ac:dyDescent="0.2">
      <c r="A22" s="2" t="s">
        <v>43</v>
      </c>
      <c r="B22" s="2">
        <v>155</v>
      </c>
      <c r="C22" s="2">
        <v>161</v>
      </c>
      <c r="D22" s="2">
        <v>2188</v>
      </c>
      <c r="E22" s="2">
        <v>2341</v>
      </c>
      <c r="F22" s="2">
        <v>9065</v>
      </c>
      <c r="G22" s="2">
        <v>9116</v>
      </c>
      <c r="H22" s="2">
        <v>7961</v>
      </c>
      <c r="I22" s="2">
        <v>7076</v>
      </c>
      <c r="J22" s="2">
        <v>2075</v>
      </c>
      <c r="K22" s="2">
        <v>1763</v>
      </c>
      <c r="L22" s="2">
        <v>164</v>
      </c>
      <c r="M22" s="2">
        <v>181</v>
      </c>
      <c r="N22" s="2">
        <v>7</v>
      </c>
      <c r="O22" s="2">
        <v>228</v>
      </c>
      <c r="P22" s="2">
        <v>953</v>
      </c>
      <c r="Q22" s="2">
        <v>536</v>
      </c>
      <c r="R22" s="2">
        <v>109</v>
      </c>
      <c r="S22" s="2">
        <v>8</v>
      </c>
    </row>
    <row r="23" spans="1:19" x14ac:dyDescent="0.2">
      <c r="A23" s="2" t="s">
        <v>44</v>
      </c>
      <c r="B23" s="2">
        <v>22</v>
      </c>
      <c r="C23" s="2">
        <v>23</v>
      </c>
      <c r="D23" s="2">
        <v>688</v>
      </c>
      <c r="E23" s="2">
        <v>698</v>
      </c>
      <c r="F23" s="2">
        <v>5793</v>
      </c>
      <c r="G23" s="2">
        <v>5737</v>
      </c>
      <c r="H23" s="2">
        <v>5008</v>
      </c>
      <c r="I23" s="2">
        <v>4381</v>
      </c>
      <c r="J23" s="2">
        <v>656</v>
      </c>
      <c r="K23" s="2">
        <v>625</v>
      </c>
      <c r="L23" s="2">
        <v>32</v>
      </c>
      <c r="M23" s="2">
        <v>35</v>
      </c>
      <c r="N23" s="2">
        <v>1</v>
      </c>
      <c r="O23" s="2">
        <v>62</v>
      </c>
      <c r="P23" s="2">
        <v>576</v>
      </c>
      <c r="Q23" s="2">
        <v>275</v>
      </c>
      <c r="R23" s="2">
        <v>38</v>
      </c>
      <c r="S23" s="2">
        <v>1</v>
      </c>
    </row>
    <row r="24" spans="1:19" x14ac:dyDescent="0.2">
      <c r="A24" s="2" t="s">
        <v>45</v>
      </c>
      <c r="B24" s="2">
        <v>1237</v>
      </c>
      <c r="C24" s="2">
        <v>1348</v>
      </c>
      <c r="D24" s="2">
        <v>10761</v>
      </c>
      <c r="E24" s="2">
        <v>10078</v>
      </c>
      <c r="F24" s="2">
        <v>15838</v>
      </c>
      <c r="G24" s="2">
        <v>15197</v>
      </c>
      <c r="H24" s="2">
        <v>12952</v>
      </c>
      <c r="I24" s="2">
        <v>11992</v>
      </c>
      <c r="J24" s="2">
        <v>7306</v>
      </c>
      <c r="K24" s="2">
        <v>6804</v>
      </c>
      <c r="L24" s="2">
        <v>614</v>
      </c>
      <c r="M24" s="2">
        <v>624</v>
      </c>
      <c r="N24" s="2">
        <v>144</v>
      </c>
      <c r="O24" s="2">
        <v>909</v>
      </c>
      <c r="P24" s="2">
        <v>1254</v>
      </c>
      <c r="Q24" s="2">
        <v>873</v>
      </c>
      <c r="R24" s="2">
        <v>423</v>
      </c>
      <c r="S24" s="2">
        <v>171</v>
      </c>
    </row>
    <row r="25" spans="1:19" x14ac:dyDescent="0.2">
      <c r="A25" s="2" t="s">
        <v>46</v>
      </c>
      <c r="B25" s="2">
        <v>6503</v>
      </c>
      <c r="C25" s="2">
        <v>6346</v>
      </c>
      <c r="D25" s="2">
        <v>15493</v>
      </c>
      <c r="E25" s="2">
        <v>14749</v>
      </c>
      <c r="F25" s="2">
        <v>14597</v>
      </c>
      <c r="G25" s="2">
        <v>13862</v>
      </c>
      <c r="H25" s="2">
        <v>13291</v>
      </c>
      <c r="I25" s="2">
        <v>12369</v>
      </c>
      <c r="J25" s="2">
        <v>12597</v>
      </c>
      <c r="K25" s="2">
        <v>11709</v>
      </c>
      <c r="L25" s="2">
        <v>4376</v>
      </c>
      <c r="M25" s="2">
        <v>3786</v>
      </c>
      <c r="N25" s="2">
        <v>597</v>
      </c>
      <c r="O25" s="2">
        <v>1303</v>
      </c>
      <c r="P25" s="2">
        <v>1161</v>
      </c>
      <c r="Q25" s="2">
        <v>921</v>
      </c>
      <c r="R25" s="2">
        <v>839</v>
      </c>
      <c r="S25" s="2">
        <v>411</v>
      </c>
    </row>
    <row r="26" spans="1:19" x14ac:dyDescent="0.2">
      <c r="A26" s="2" t="s">
        <v>47</v>
      </c>
      <c r="B26" s="2">
        <v>22</v>
      </c>
      <c r="C26" s="2">
        <v>23</v>
      </c>
      <c r="D26" s="2">
        <v>709</v>
      </c>
      <c r="E26" s="2">
        <v>678</v>
      </c>
      <c r="F26" s="2">
        <v>5866</v>
      </c>
      <c r="G26" s="2">
        <v>5762</v>
      </c>
      <c r="H26" s="2">
        <v>4987</v>
      </c>
      <c r="I26" s="2">
        <v>4454</v>
      </c>
      <c r="J26" s="2">
        <v>678</v>
      </c>
      <c r="K26" s="2">
        <v>621</v>
      </c>
      <c r="L26" s="2">
        <v>34</v>
      </c>
      <c r="M26" s="2">
        <v>34</v>
      </c>
      <c r="N26" s="2">
        <v>1</v>
      </c>
      <c r="O26" s="2">
        <v>58</v>
      </c>
      <c r="P26" s="2">
        <v>475</v>
      </c>
      <c r="Q26" s="2">
        <v>227</v>
      </c>
      <c r="R26" s="2">
        <v>26</v>
      </c>
      <c r="S26" s="2">
        <v>0</v>
      </c>
    </row>
    <row r="27" spans="1:19" x14ac:dyDescent="0.2">
      <c r="A27" s="2" t="s">
        <v>48</v>
      </c>
      <c r="B27" s="2">
        <v>149</v>
      </c>
      <c r="C27" s="2">
        <v>163</v>
      </c>
      <c r="D27" s="2">
        <v>2274</v>
      </c>
      <c r="E27" s="2">
        <v>2293</v>
      </c>
      <c r="F27" s="2">
        <v>9168</v>
      </c>
      <c r="G27" s="2">
        <v>9162</v>
      </c>
      <c r="H27" s="2">
        <v>7946</v>
      </c>
      <c r="I27" s="2">
        <v>7172</v>
      </c>
      <c r="J27" s="2">
        <v>2092</v>
      </c>
      <c r="K27" s="2">
        <v>1791</v>
      </c>
      <c r="L27" s="2">
        <v>174</v>
      </c>
      <c r="M27" s="2">
        <v>177</v>
      </c>
      <c r="N27" s="2">
        <v>10</v>
      </c>
      <c r="O27" s="2">
        <v>188</v>
      </c>
      <c r="P27" s="2">
        <v>795</v>
      </c>
      <c r="Q27" s="2">
        <v>454</v>
      </c>
      <c r="R27" s="2">
        <v>80</v>
      </c>
      <c r="S27" s="2">
        <v>5</v>
      </c>
    </row>
    <row r="28" spans="1:19" x14ac:dyDescent="0.2">
      <c r="A28" s="2" t="s">
        <v>49</v>
      </c>
      <c r="B28" s="2">
        <v>432</v>
      </c>
      <c r="C28" s="2">
        <v>453</v>
      </c>
      <c r="D28" s="2">
        <v>3786</v>
      </c>
      <c r="E28" s="2">
        <v>3822</v>
      </c>
      <c r="F28" s="2">
        <v>10996</v>
      </c>
      <c r="G28" s="2">
        <v>11069</v>
      </c>
      <c r="H28" s="2">
        <v>9726</v>
      </c>
      <c r="I28" s="2">
        <v>8791</v>
      </c>
      <c r="J28" s="2">
        <v>3443</v>
      </c>
      <c r="K28" s="2">
        <v>2927</v>
      </c>
      <c r="L28" s="2">
        <v>457</v>
      </c>
      <c r="M28" s="2">
        <v>413</v>
      </c>
      <c r="N28" s="2">
        <v>34</v>
      </c>
      <c r="O28" s="2">
        <v>311</v>
      </c>
      <c r="P28" s="2">
        <v>981</v>
      </c>
      <c r="Q28" s="2">
        <v>550</v>
      </c>
      <c r="R28" s="2">
        <v>189</v>
      </c>
      <c r="S28" s="2">
        <v>20</v>
      </c>
    </row>
    <row r="29" spans="1:19" x14ac:dyDescent="0.2">
      <c r="A29" s="2" t="s">
        <v>50</v>
      </c>
      <c r="B29" s="2">
        <v>1463</v>
      </c>
      <c r="C29" s="2">
        <v>1524</v>
      </c>
      <c r="D29" s="2">
        <v>6534</v>
      </c>
      <c r="E29" s="2">
        <v>6621</v>
      </c>
      <c r="F29" s="2">
        <v>12989</v>
      </c>
      <c r="G29" s="2">
        <v>12701</v>
      </c>
      <c r="H29" s="2">
        <v>11698</v>
      </c>
      <c r="I29" s="2">
        <v>10414</v>
      </c>
      <c r="J29" s="2">
        <v>5839</v>
      </c>
      <c r="K29" s="2">
        <v>5237</v>
      </c>
      <c r="L29" s="2">
        <v>1459</v>
      </c>
      <c r="M29" s="2">
        <v>1211</v>
      </c>
      <c r="N29" s="2">
        <v>117</v>
      </c>
      <c r="O29" s="2">
        <v>589</v>
      </c>
      <c r="P29" s="2">
        <v>1123</v>
      </c>
      <c r="Q29" s="2">
        <v>796</v>
      </c>
      <c r="R29" s="2">
        <v>348</v>
      </c>
      <c r="S29" s="2">
        <v>64</v>
      </c>
    </row>
    <row r="30" spans="1:19" x14ac:dyDescent="0.2">
      <c r="A30" s="2" t="s">
        <v>51</v>
      </c>
      <c r="B30" s="2">
        <v>355</v>
      </c>
      <c r="C30" s="2">
        <v>387</v>
      </c>
      <c r="D30" s="2">
        <v>3967</v>
      </c>
      <c r="E30" s="2">
        <v>4188</v>
      </c>
      <c r="F30" s="2">
        <v>11569</v>
      </c>
      <c r="G30" s="2">
        <v>11861</v>
      </c>
      <c r="H30" s="2">
        <v>10494</v>
      </c>
      <c r="I30" s="2">
        <v>9227</v>
      </c>
      <c r="J30" s="2">
        <v>3709</v>
      </c>
      <c r="K30" s="2">
        <v>3144</v>
      </c>
      <c r="L30" s="2">
        <v>371</v>
      </c>
      <c r="M30" s="2">
        <v>370</v>
      </c>
      <c r="N30" s="2">
        <v>28</v>
      </c>
      <c r="O30" s="2">
        <v>427</v>
      </c>
      <c r="P30" s="2">
        <v>1256</v>
      </c>
      <c r="Q30" s="2">
        <v>813</v>
      </c>
      <c r="R30" s="2">
        <v>238</v>
      </c>
      <c r="S30" s="2">
        <v>16</v>
      </c>
    </row>
    <row r="31" spans="1:19" x14ac:dyDescent="0.2">
      <c r="A31" s="2" t="s">
        <v>52</v>
      </c>
      <c r="B31" s="2">
        <v>507</v>
      </c>
      <c r="C31" s="2">
        <v>539</v>
      </c>
      <c r="D31" s="2">
        <v>6194</v>
      </c>
      <c r="E31" s="2">
        <v>6474</v>
      </c>
      <c r="F31" s="2">
        <v>14350</v>
      </c>
      <c r="G31" s="2">
        <v>14325</v>
      </c>
      <c r="H31" s="2">
        <v>12107</v>
      </c>
      <c r="I31" s="2">
        <v>10977</v>
      </c>
      <c r="J31" s="2">
        <v>5328</v>
      </c>
      <c r="K31" s="2">
        <v>4581</v>
      </c>
      <c r="L31" s="2">
        <v>496</v>
      </c>
      <c r="M31" s="2">
        <v>425</v>
      </c>
      <c r="N31" s="2">
        <v>42</v>
      </c>
      <c r="O31" s="2">
        <v>687</v>
      </c>
      <c r="P31" s="2">
        <v>1598</v>
      </c>
      <c r="Q31" s="2">
        <v>1067</v>
      </c>
      <c r="R31" s="2">
        <v>333</v>
      </c>
      <c r="S31" s="2">
        <v>20</v>
      </c>
    </row>
    <row r="32" spans="1:19" x14ac:dyDescent="0.2">
      <c r="A32" s="2" t="s">
        <v>53</v>
      </c>
      <c r="B32" s="2">
        <v>6460</v>
      </c>
      <c r="C32" s="2">
        <v>6663</v>
      </c>
      <c r="D32" s="2">
        <v>14880</v>
      </c>
      <c r="E32" s="2">
        <v>14505</v>
      </c>
      <c r="F32" s="2">
        <v>14060</v>
      </c>
      <c r="G32" s="2">
        <v>13664</v>
      </c>
      <c r="H32" s="2">
        <v>12487</v>
      </c>
      <c r="I32" s="2">
        <v>11676</v>
      </c>
      <c r="J32" s="2">
        <v>11874</v>
      </c>
      <c r="K32" s="2">
        <v>11097</v>
      </c>
      <c r="L32" s="2">
        <v>4491</v>
      </c>
      <c r="M32" s="2">
        <v>3757</v>
      </c>
      <c r="N32" s="2">
        <v>771</v>
      </c>
      <c r="O32" s="2">
        <v>1551</v>
      </c>
      <c r="P32" s="2">
        <v>1392</v>
      </c>
      <c r="Q32" s="2">
        <v>1109</v>
      </c>
      <c r="R32" s="2">
        <v>925</v>
      </c>
      <c r="S32" s="2">
        <v>416</v>
      </c>
    </row>
    <row r="33" spans="1:19" x14ac:dyDescent="0.2">
      <c r="A33" s="2" t="s">
        <v>54</v>
      </c>
      <c r="B33" s="2">
        <v>6667</v>
      </c>
      <c r="C33" s="2">
        <v>6570</v>
      </c>
      <c r="D33" s="2">
        <v>15157</v>
      </c>
      <c r="E33" s="2">
        <v>14489</v>
      </c>
      <c r="F33" s="2">
        <v>14325</v>
      </c>
      <c r="G33" s="2">
        <v>13559</v>
      </c>
      <c r="H33" s="2">
        <v>12667</v>
      </c>
      <c r="I33" s="2">
        <v>11721</v>
      </c>
      <c r="J33" s="2">
        <v>11960</v>
      </c>
      <c r="K33" s="2">
        <v>11201</v>
      </c>
      <c r="L33" s="2">
        <v>4460</v>
      </c>
      <c r="M33" s="2">
        <v>3807</v>
      </c>
      <c r="N33" s="2">
        <v>591</v>
      </c>
      <c r="O33" s="2">
        <v>1285</v>
      </c>
      <c r="P33" s="2">
        <v>1243</v>
      </c>
      <c r="Q33" s="2">
        <v>879</v>
      </c>
      <c r="R33" s="2">
        <v>766</v>
      </c>
      <c r="S33" s="2">
        <v>390</v>
      </c>
    </row>
    <row r="34" spans="1:19" x14ac:dyDescent="0.2">
      <c r="A34" s="2" t="s">
        <v>55</v>
      </c>
      <c r="B34" s="2">
        <v>525</v>
      </c>
      <c r="C34" s="2">
        <v>527</v>
      </c>
      <c r="D34" s="2">
        <v>6328</v>
      </c>
      <c r="E34" s="2">
        <v>6440</v>
      </c>
      <c r="F34" s="2">
        <v>14686</v>
      </c>
      <c r="G34" s="2">
        <v>14272</v>
      </c>
      <c r="H34" s="2">
        <v>12226</v>
      </c>
      <c r="I34" s="2">
        <v>11048</v>
      </c>
      <c r="J34" s="2">
        <v>5290</v>
      </c>
      <c r="K34" s="2">
        <v>4688</v>
      </c>
      <c r="L34" s="2">
        <v>499</v>
      </c>
      <c r="M34" s="2">
        <v>426</v>
      </c>
      <c r="N34" s="2">
        <v>36</v>
      </c>
      <c r="O34" s="2">
        <v>565</v>
      </c>
      <c r="P34" s="2">
        <v>1304</v>
      </c>
      <c r="Q34" s="2">
        <v>882</v>
      </c>
      <c r="R34" s="2">
        <v>289</v>
      </c>
      <c r="S34" s="2">
        <v>19</v>
      </c>
    </row>
    <row r="35" spans="1:19" x14ac:dyDescent="0.2">
      <c r="A35" s="2" t="s">
        <v>56</v>
      </c>
      <c r="B35" s="2">
        <v>357</v>
      </c>
      <c r="C35" s="2">
        <v>384</v>
      </c>
      <c r="D35" s="2">
        <v>4079</v>
      </c>
      <c r="E35" s="2">
        <v>4155</v>
      </c>
      <c r="F35" s="2">
        <v>11835</v>
      </c>
      <c r="G35" s="2">
        <v>11794</v>
      </c>
      <c r="H35" s="2">
        <v>10524</v>
      </c>
      <c r="I35" s="2">
        <v>9365</v>
      </c>
      <c r="J35" s="2">
        <v>3718</v>
      </c>
      <c r="K35" s="2">
        <v>3190</v>
      </c>
      <c r="L35" s="2">
        <v>384</v>
      </c>
      <c r="M35" s="2">
        <v>362</v>
      </c>
      <c r="N35" s="2">
        <v>27</v>
      </c>
      <c r="O35" s="2">
        <v>354</v>
      </c>
      <c r="P35" s="2">
        <v>1062</v>
      </c>
      <c r="Q35" s="2">
        <v>656</v>
      </c>
      <c r="R35" s="2">
        <v>208</v>
      </c>
      <c r="S35" s="2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4F318-C3F1-9A4F-A1B7-C511DAF2CD03}">
  <dimension ref="A1:AR35"/>
  <sheetViews>
    <sheetView tabSelected="1" workbookViewId="0">
      <selection activeCell="C6" sqref="C6"/>
    </sheetView>
  </sheetViews>
  <sheetFormatPr baseColWidth="10" defaultRowHeight="16" x14ac:dyDescent="0.2"/>
  <cols>
    <col min="1" max="5" width="10.83203125" style="2"/>
    <col min="6" max="6" width="2.83203125" style="2" customWidth="1"/>
    <col min="7" max="16384" width="10.83203125" style="2"/>
  </cols>
  <sheetData>
    <row r="1" spans="1:44" x14ac:dyDescent="0.2">
      <c r="A1" s="2" t="s">
        <v>8</v>
      </c>
      <c r="B1" s="2" t="s">
        <v>58</v>
      </c>
      <c r="C1" s="2" t="s">
        <v>57</v>
      </c>
      <c r="E1" s="2" t="s">
        <v>27</v>
      </c>
      <c r="G1" s="2" t="s">
        <v>9</v>
      </c>
      <c r="H1" s="2" t="s">
        <v>10</v>
      </c>
      <c r="I1" s="2" t="s">
        <v>33</v>
      </c>
      <c r="J1" s="2" t="s">
        <v>35</v>
      </c>
      <c r="L1" s="2" t="s">
        <v>11</v>
      </c>
      <c r="M1" s="2" t="s">
        <v>12</v>
      </c>
      <c r="N1" s="2" t="s">
        <v>33</v>
      </c>
      <c r="O1" s="2" t="s">
        <v>35</v>
      </c>
      <c r="Q1" s="2" t="s">
        <v>13</v>
      </c>
      <c r="R1" s="2" t="s">
        <v>14</v>
      </c>
      <c r="S1" s="2" t="s">
        <v>33</v>
      </c>
      <c r="T1" s="2" t="s">
        <v>35</v>
      </c>
      <c r="V1" s="2" t="s">
        <v>15</v>
      </c>
      <c r="W1" s="2" t="s">
        <v>16</v>
      </c>
      <c r="X1" s="2" t="s">
        <v>34</v>
      </c>
      <c r="Y1" s="2" t="s">
        <v>35</v>
      </c>
      <c r="AA1" s="2" t="s">
        <v>17</v>
      </c>
      <c r="AB1" s="2" t="s">
        <v>18</v>
      </c>
      <c r="AC1" s="2" t="s">
        <v>34</v>
      </c>
      <c r="AD1" s="2" t="s">
        <v>35</v>
      </c>
      <c r="AF1" s="2" t="s">
        <v>19</v>
      </c>
      <c r="AG1" s="2" t="s">
        <v>20</v>
      </c>
      <c r="AH1" s="2" t="s">
        <v>34</v>
      </c>
      <c r="AI1" s="2" t="s">
        <v>35</v>
      </c>
      <c r="AK1" s="2" t="s">
        <v>21</v>
      </c>
      <c r="AL1" s="2" t="s">
        <v>22</v>
      </c>
      <c r="AM1" s="2" t="s">
        <v>23</v>
      </c>
      <c r="AN1" s="2" t="s">
        <v>24</v>
      </c>
      <c r="AO1" s="2" t="s">
        <v>25</v>
      </c>
      <c r="AP1" s="2" t="s">
        <v>26</v>
      </c>
    </row>
    <row r="2" spans="1:44" x14ac:dyDescent="0.2">
      <c r="A2" s="1" t="s">
        <v>0</v>
      </c>
      <c r="B2" s="1"/>
      <c r="C2" s="1">
        <f>IF(X2&gt;0.05, IF(AC2&gt;0.05,IF(AH2&gt;0.05,1,0),0),0)</f>
        <v>1</v>
      </c>
      <c r="E2" s="2">
        <f>G2+H2++L2+F2+M2+Q2+R2+V2+W2+AA2+AB2+AF2+AG2+AK2+AL2+AM2+AN2+AO2+AP2</f>
        <v>58340</v>
      </c>
      <c r="G2" s="2">
        <v>428</v>
      </c>
      <c r="H2" s="2">
        <v>450</v>
      </c>
      <c r="I2" s="2">
        <f>(H2-G2)/SUM(G2:H2)</f>
        <v>2.5056947608200455E-2</v>
      </c>
      <c r="J2" s="2">
        <f>SUM(F2:H2)/$E2</f>
        <v>1.5049708604730887E-2</v>
      </c>
      <c r="L2" s="2">
        <v>3620</v>
      </c>
      <c r="M2" s="2">
        <v>3815</v>
      </c>
      <c r="N2" s="2">
        <f t="shared" ref="N2:N5" si="0">(M2-L2)/SUM(L2:M2)</f>
        <v>2.6227303295225286E-2</v>
      </c>
      <c r="O2" s="2">
        <f>SUM(L2:M2)/E2</f>
        <v>0.12744257799108674</v>
      </c>
      <c r="Q2" s="2">
        <v>10388</v>
      </c>
      <c r="R2" s="2">
        <v>10897</v>
      </c>
      <c r="S2" s="2">
        <f t="shared" ref="S2:S5" si="1">(R2-Q2)/SUM(Q2:R2)</f>
        <v>2.3913554146112286E-2</v>
      </c>
      <c r="T2" s="2">
        <f>SUM(Q2:R2)/E2</f>
        <v>0.36484401782653408</v>
      </c>
      <c r="V2" s="2">
        <v>9663</v>
      </c>
      <c r="W2" s="2">
        <v>8446</v>
      </c>
      <c r="X2" s="2">
        <f>(V2-W2)/SUM(V2:W2)</f>
        <v>6.7204152631288316E-2</v>
      </c>
      <c r="Y2" s="2">
        <f>SUM(V2:W2)/E2</f>
        <v>0.31040452519712031</v>
      </c>
      <c r="AA2" s="2">
        <v>3382</v>
      </c>
      <c r="AB2" s="2">
        <v>2854</v>
      </c>
      <c r="AC2" s="2">
        <f t="shared" ref="AC2:AC5" si="2">(AA2-AB2)/SUM(AA2:AB2)</f>
        <v>8.4669660038486208E-2</v>
      </c>
      <c r="AD2" s="2">
        <f>SUM(AA2:AB2)/E2</f>
        <v>0.10689064106959205</v>
      </c>
      <c r="AF2" s="2">
        <v>448</v>
      </c>
      <c r="AG2" s="2">
        <v>401</v>
      </c>
      <c r="AH2" s="2">
        <f t="shared" ref="AH2:AH5" si="3">(AF2-AG2)/SUM(AF2:AG2)</f>
        <v>5.5359246171967018E-2</v>
      </c>
      <c r="AI2" s="2">
        <f>SUM(AF2:AG2)/E2</f>
        <v>1.4552622557422009E-2</v>
      </c>
      <c r="AK2" s="2">
        <v>39</v>
      </c>
      <c r="AL2" s="2">
        <v>492</v>
      </c>
      <c r="AM2" s="2">
        <v>1749</v>
      </c>
      <c r="AN2" s="2">
        <v>948</v>
      </c>
      <c r="AO2" s="2">
        <v>288</v>
      </c>
      <c r="AP2" s="2">
        <v>32</v>
      </c>
      <c r="AQ2" s="2">
        <f>SUM(AK2:AP2)</f>
        <v>3548</v>
      </c>
      <c r="AR2" s="2">
        <f>AQ2/E2</f>
        <v>6.0815906753513886E-2</v>
      </c>
    </row>
    <row r="3" spans="1:44" x14ac:dyDescent="0.2">
      <c r="A3" s="2" t="s">
        <v>1</v>
      </c>
      <c r="C3" s="2">
        <f t="shared" ref="C3:C35" si="4">IF(X3&gt;0.05, IF(AC3&gt;0.05,IF(AH3&gt;0.05,1,0),0),0)</f>
        <v>0</v>
      </c>
      <c r="E3" s="2">
        <f>G3+H3++L3+F3+M3+Q3+R3+V3+W3+AA3+AB3+AF3+AG3</f>
        <v>41497</v>
      </c>
      <c r="G3" s="2">
        <v>153</v>
      </c>
      <c r="H3" s="2">
        <v>156</v>
      </c>
      <c r="I3" s="2">
        <f>(H3-G3)/SUM(G3:H3)</f>
        <v>9.7087378640776691E-3</v>
      </c>
      <c r="J3" s="2">
        <f>SUM(F3:H3)/$E3</f>
        <v>7.4463214208256015E-3</v>
      </c>
      <c r="L3" s="2">
        <v>2161</v>
      </c>
      <c r="M3" s="2">
        <v>2325</v>
      </c>
      <c r="N3" s="2">
        <f t="shared" si="0"/>
        <v>3.6558181007579134E-2</v>
      </c>
      <c r="O3" s="2">
        <f>SUM(L3:M3)/E3</f>
        <v>0.10810420030363641</v>
      </c>
      <c r="Q3" s="2">
        <v>8758</v>
      </c>
      <c r="R3" s="2">
        <v>8955</v>
      </c>
      <c r="S3" s="2">
        <f t="shared" si="1"/>
        <v>1.1121774967537966E-2</v>
      </c>
      <c r="T3" s="2">
        <f>SUM(Q3:R3)/E3</f>
        <v>0.42685013374460806</v>
      </c>
      <c r="V3" s="2">
        <v>7883</v>
      </c>
      <c r="W3" s="2">
        <v>6983</v>
      </c>
      <c r="X3" s="2">
        <f t="shared" ref="X3:X5" si="5">(V3-W3)/SUM(V3:W3)</f>
        <v>6.0540831427418271E-2</v>
      </c>
      <c r="Y3" s="2">
        <f>SUM(V3:W3)/E3</f>
        <v>0.35824276453719545</v>
      </c>
      <c r="AA3" s="2">
        <v>2045</v>
      </c>
      <c r="AB3" s="2">
        <v>1735</v>
      </c>
      <c r="AC3" s="2">
        <f t="shared" si="2"/>
        <v>8.2010582010582006E-2</v>
      </c>
      <c r="AD3" s="2">
        <f>SUM(AA3:AB3)/E3</f>
        <v>9.109092223534232E-2</v>
      </c>
      <c r="AF3" s="2">
        <v>178</v>
      </c>
      <c r="AG3" s="2">
        <v>165</v>
      </c>
      <c r="AH3" s="2">
        <f t="shared" si="3"/>
        <v>3.7900874635568516E-2</v>
      </c>
      <c r="AI3" s="2">
        <f>SUM(AF3:AG3)/E3</f>
        <v>8.2656577583921729E-3</v>
      </c>
      <c r="AK3" s="2">
        <v>13</v>
      </c>
      <c r="AL3" s="2">
        <v>278</v>
      </c>
      <c r="AM3" s="2">
        <v>1400</v>
      </c>
      <c r="AN3" s="2">
        <v>707</v>
      </c>
      <c r="AO3" s="2">
        <v>154</v>
      </c>
      <c r="AP3" s="2">
        <v>7</v>
      </c>
      <c r="AQ3" s="2">
        <f t="shared" ref="AQ3:AQ5" si="6">SUM(AK3:AP3)</f>
        <v>2559</v>
      </c>
      <c r="AR3" s="2">
        <f>AQ3/E3</f>
        <v>6.1667108465672214E-2</v>
      </c>
    </row>
    <row r="4" spans="1:44" x14ac:dyDescent="0.2">
      <c r="A4" s="2" t="s">
        <v>2</v>
      </c>
      <c r="C4" s="2">
        <f t="shared" si="4"/>
        <v>0</v>
      </c>
      <c r="E4" s="2">
        <f>G4+H4++L4+F4+M4+Q4+R4+V4+W4+AA4+AB4+AF4+AG4</f>
        <v>23313</v>
      </c>
      <c r="G4" s="2">
        <v>21</v>
      </c>
      <c r="H4" s="2">
        <v>24</v>
      </c>
      <c r="I4" s="2">
        <f>(H4-G4)/SUM(G4:H4)</f>
        <v>6.6666666666666666E-2</v>
      </c>
      <c r="J4" s="2">
        <f>SUM(F4:H4)/$E4</f>
        <v>1.9302535066272038E-3</v>
      </c>
      <c r="L4" s="2">
        <v>694</v>
      </c>
      <c r="M4" s="2">
        <v>694</v>
      </c>
      <c r="N4" s="2">
        <f t="shared" si="0"/>
        <v>0</v>
      </c>
      <c r="O4" s="2">
        <f>SUM(L4:M4)/E4</f>
        <v>5.9537597048856861E-2</v>
      </c>
      <c r="Q4" s="2">
        <v>5616</v>
      </c>
      <c r="R4" s="2">
        <v>5651</v>
      </c>
      <c r="S4" s="2">
        <f t="shared" si="1"/>
        <v>3.1064169699121327E-3</v>
      </c>
      <c r="T4" s="2">
        <f>SUM(Q4:R4)/E4</f>
        <v>0.48329258353708232</v>
      </c>
      <c r="V4" s="2">
        <v>4902</v>
      </c>
      <c r="W4" s="2">
        <v>4372</v>
      </c>
      <c r="X4" s="2">
        <f t="shared" si="5"/>
        <v>5.7149018762130688E-2</v>
      </c>
      <c r="Y4" s="2">
        <f>SUM(V4:W4)/E4</f>
        <v>0.39780380045468194</v>
      </c>
      <c r="AA4" s="2">
        <v>679</v>
      </c>
      <c r="AB4" s="2">
        <v>595</v>
      </c>
      <c r="AC4" s="2">
        <f t="shared" si="2"/>
        <v>6.5934065934065936E-2</v>
      </c>
      <c r="AD4" s="2">
        <f>SUM(AA4:AB4)/E4</f>
        <v>5.464762149873461E-2</v>
      </c>
      <c r="AF4" s="2">
        <v>32</v>
      </c>
      <c r="AG4" s="2">
        <v>33</v>
      </c>
      <c r="AH4" s="2">
        <f t="shared" si="3"/>
        <v>-1.5384615384615385E-2</v>
      </c>
      <c r="AI4" s="2">
        <f>SUM(AF4:AG4)/E4</f>
        <v>2.7881439540170718E-3</v>
      </c>
      <c r="AK4" s="2">
        <v>1</v>
      </c>
      <c r="AL4" s="2">
        <v>60</v>
      </c>
      <c r="AM4" s="2">
        <v>840</v>
      </c>
      <c r="AN4" s="2">
        <v>388</v>
      </c>
      <c r="AO4" s="2">
        <v>42</v>
      </c>
      <c r="AP4" s="2">
        <v>2</v>
      </c>
      <c r="AQ4" s="2">
        <f t="shared" si="6"/>
        <v>1333</v>
      </c>
      <c r="AR4" s="2">
        <f>AQ4/E4</f>
        <v>5.7178398318534725E-2</v>
      </c>
    </row>
    <row r="5" spans="1:44" x14ac:dyDescent="0.2">
      <c r="A5" s="1" t="s">
        <v>3</v>
      </c>
      <c r="B5" s="1"/>
      <c r="C5" s="1">
        <f t="shared" si="4"/>
        <v>1</v>
      </c>
      <c r="E5" s="2">
        <f>G5+H5++L5+F5+M5+Q5+R5+V5+W5+AA5+AB5+AF5+AG5</f>
        <v>75589</v>
      </c>
      <c r="G5" s="2">
        <v>1394</v>
      </c>
      <c r="H5" s="2">
        <v>1520</v>
      </c>
      <c r="I5" s="2">
        <f>(H5-G5)/SUM(G5:H5)</f>
        <v>4.3239533287577216E-2</v>
      </c>
      <c r="J5" s="2">
        <f>SUM(F5:H5)/$E5</f>
        <v>3.8550582756750322E-2</v>
      </c>
      <c r="L5" s="2">
        <v>6189</v>
      </c>
      <c r="M5" s="2">
        <v>6548</v>
      </c>
      <c r="N5" s="2">
        <f t="shared" si="0"/>
        <v>2.8185601004946218E-2</v>
      </c>
      <c r="O5" s="2">
        <f>SUM(L5:M5)/E5</f>
        <v>0.16850335366256994</v>
      </c>
      <c r="Q5" s="2">
        <v>12074</v>
      </c>
      <c r="R5" s="2">
        <v>12809</v>
      </c>
      <c r="S5" s="2">
        <f t="shared" si="1"/>
        <v>2.9538238958324962E-2</v>
      </c>
      <c r="T5" s="2">
        <f>SUM(Q5:R5)/E5</f>
        <v>0.32918810938099458</v>
      </c>
      <c r="V5" s="2">
        <v>11537</v>
      </c>
      <c r="W5" s="2">
        <v>10078</v>
      </c>
      <c r="X5" s="2">
        <f t="shared" si="5"/>
        <v>6.7499421697894982E-2</v>
      </c>
      <c r="Y5" s="2">
        <f>SUM(V5:W5)/E5</f>
        <v>0.28595430552064455</v>
      </c>
      <c r="AA5" s="2">
        <v>5857</v>
      </c>
      <c r="AB5" s="2">
        <v>4973</v>
      </c>
      <c r="AC5" s="2">
        <f t="shared" si="2"/>
        <v>8.1625115420129277E-2</v>
      </c>
      <c r="AD5" s="2">
        <f>SUM(AA5:AB5)/E5</f>
        <v>0.14327481511860191</v>
      </c>
      <c r="AF5" s="2">
        <v>1425</v>
      </c>
      <c r="AG5" s="2">
        <v>1185</v>
      </c>
      <c r="AH5" s="2">
        <f t="shared" si="3"/>
        <v>9.1954022988505746E-2</v>
      </c>
      <c r="AI5" s="2">
        <f>SUM(AF5:AG5)/E5</f>
        <v>3.452883356043869E-2</v>
      </c>
      <c r="AK5" s="2">
        <v>177</v>
      </c>
      <c r="AL5" s="2">
        <v>996</v>
      </c>
      <c r="AM5" s="2">
        <v>1935</v>
      </c>
      <c r="AN5" s="2">
        <v>1253</v>
      </c>
      <c r="AO5" s="2">
        <v>568</v>
      </c>
      <c r="AP5" s="2">
        <v>102</v>
      </c>
      <c r="AQ5" s="2">
        <f t="shared" si="6"/>
        <v>5031</v>
      </c>
      <c r="AR5" s="2">
        <f>AQ5/E5</f>
        <v>6.6557303311328364E-2</v>
      </c>
    </row>
    <row r="6" spans="1:44" x14ac:dyDescent="0.2">
      <c r="A6" s="2" t="s">
        <v>4</v>
      </c>
      <c r="C6" s="2">
        <f t="shared" si="4"/>
        <v>0</v>
      </c>
      <c r="E6" s="2">
        <f>G6+H6++L6+F6+M6+Q6+R6+V6+W6+AA6+AB6+AF6+AG6</f>
        <v>92188</v>
      </c>
      <c r="G6" s="2">
        <v>1294</v>
      </c>
      <c r="H6" s="2">
        <v>1323</v>
      </c>
      <c r="I6" s="2">
        <f>(H6-G6)/SUM(G6:H6)</f>
        <v>1.1081390905617119E-2</v>
      </c>
      <c r="J6" s="2">
        <f>SUM(F6:H6)/$E6</f>
        <v>2.8387642643294138E-2</v>
      </c>
      <c r="L6" s="2">
        <v>10320</v>
      </c>
      <c r="M6" s="2">
        <v>9954</v>
      </c>
      <c r="N6" s="2">
        <f>(M6-L6)/SUM(L6:M6)</f>
        <v>-1.8052678307191476E-2</v>
      </c>
      <c r="O6" s="2">
        <f>SUM(L6:M6)/E6</f>
        <v>0.21992016314487786</v>
      </c>
      <c r="Q6" s="2">
        <v>15158</v>
      </c>
      <c r="R6" s="2">
        <v>14802</v>
      </c>
      <c r="S6" s="2">
        <f>(R6-Q6)/SUM(Q6:R6)</f>
        <v>-1.1882510013351135E-2</v>
      </c>
      <c r="T6" s="2">
        <f>SUM(Q6:R6)/E6</f>
        <v>0.32498806786132683</v>
      </c>
      <c r="V6" s="2">
        <v>12546</v>
      </c>
      <c r="W6" s="2">
        <v>11721</v>
      </c>
      <c r="X6" s="2">
        <f t="shared" ref="X6:X14" si="7">(V6-W6)/SUM(V6:W6)</f>
        <v>3.3996785758437384E-2</v>
      </c>
      <c r="Y6" s="2">
        <f>SUM(V6:W6)/E6</f>
        <v>0.2632338265283985</v>
      </c>
      <c r="AA6" s="2">
        <v>7133</v>
      </c>
      <c r="AB6" s="2">
        <v>6695</v>
      </c>
      <c r="AC6" s="2">
        <f t="shared" ref="AC6:AC9" si="8">(AA6-AB6)/SUM(AA6:AB6)</f>
        <v>3.1674862597628001E-2</v>
      </c>
      <c r="AD6" s="2">
        <f>SUM(AA6:AB6)/E6</f>
        <v>0.14999783052024124</v>
      </c>
      <c r="AF6" s="2">
        <v>622</v>
      </c>
      <c r="AG6" s="2">
        <v>620</v>
      </c>
      <c r="AH6" s="2">
        <f t="shared" ref="AH6:AH9" si="9">(AF6-AG6)/SUM(AF6:AG6)</f>
        <v>1.6103059581320451E-3</v>
      </c>
      <c r="AI6" s="2">
        <f>SUM(AF6:AG6)/E6</f>
        <v>1.3472469301861413E-2</v>
      </c>
      <c r="AK6" s="2">
        <v>224</v>
      </c>
      <c r="AL6" s="2">
        <v>1546</v>
      </c>
      <c r="AM6" s="2">
        <v>2305</v>
      </c>
      <c r="AN6" s="2">
        <v>1521</v>
      </c>
      <c r="AO6" s="2">
        <v>768</v>
      </c>
      <c r="AP6" s="2">
        <v>188</v>
      </c>
      <c r="AQ6" s="2">
        <f t="shared" ref="AQ6:AQ9" si="10">SUM(AK6:AP6)</f>
        <v>6552</v>
      </c>
      <c r="AR6" s="2">
        <f>AQ6/E6</f>
        <v>7.1072156896776151E-2</v>
      </c>
    </row>
    <row r="7" spans="1:44" x14ac:dyDescent="0.2">
      <c r="A7" s="2" t="s">
        <v>5</v>
      </c>
      <c r="C7" s="2">
        <f t="shared" si="4"/>
        <v>0</v>
      </c>
      <c r="E7" s="2">
        <f>G7+H7++L7+F7+M7+Q7+R7+V7+W7+AA7+AB7+AF7+AG7</f>
        <v>126072</v>
      </c>
      <c r="G7" s="2">
        <v>6143</v>
      </c>
      <c r="H7" s="2">
        <v>6430</v>
      </c>
      <c r="I7" s="2">
        <f>(H7-G7)/SUM(G7:H7)</f>
        <v>2.2826692118030702E-2</v>
      </c>
      <c r="J7" s="2">
        <f>SUM(F7:H7)/$E7</f>
        <v>9.9728726442033122E-2</v>
      </c>
      <c r="L7" s="2">
        <v>14715</v>
      </c>
      <c r="M7" s="2">
        <v>14622</v>
      </c>
      <c r="N7" s="2">
        <f>(M7-L7)/SUM(L7:M7)</f>
        <v>-3.1700582881685245E-3</v>
      </c>
      <c r="O7" s="2">
        <f>SUM(L7:M7)/E7</f>
        <v>0.23270036169807728</v>
      </c>
      <c r="Q7" s="2">
        <v>13963</v>
      </c>
      <c r="R7" s="2">
        <v>13546</v>
      </c>
      <c r="S7" s="2">
        <f>(R7-Q7)/SUM(Q7:R7)</f>
        <v>-1.5158675342615145E-2</v>
      </c>
      <c r="T7" s="2">
        <f>SUM(Q7:R7)/E7</f>
        <v>0.21820071070499397</v>
      </c>
      <c r="V7" s="2">
        <v>12875</v>
      </c>
      <c r="W7" s="2">
        <v>12080</v>
      </c>
      <c r="X7" s="2">
        <f t="shared" si="7"/>
        <v>3.1857343217792024E-2</v>
      </c>
      <c r="Y7" s="2">
        <f>SUM(V7:W7)/E7</f>
        <v>0.19794244558664889</v>
      </c>
      <c r="AA7" s="2">
        <v>12370</v>
      </c>
      <c r="AB7" s="2">
        <v>11301</v>
      </c>
      <c r="AC7" s="2">
        <f t="shared" si="8"/>
        <v>4.5160745215664738E-2</v>
      </c>
      <c r="AD7" s="2">
        <f>SUM(AA7:AB7)/E7</f>
        <v>0.18775778919982233</v>
      </c>
      <c r="AF7" s="2">
        <v>4361</v>
      </c>
      <c r="AG7" s="2">
        <v>3666</v>
      </c>
      <c r="AH7" s="2">
        <f t="shared" si="9"/>
        <v>8.6582783107013825E-2</v>
      </c>
      <c r="AI7" s="2">
        <f>SUM(AF7:AG7)/E7</f>
        <v>6.3669966368424397E-2</v>
      </c>
      <c r="AK7" s="2">
        <v>993</v>
      </c>
      <c r="AL7" s="2">
        <v>2249</v>
      </c>
      <c r="AM7" s="2">
        <v>2078</v>
      </c>
      <c r="AN7" s="2">
        <v>1555</v>
      </c>
      <c r="AO7" s="2">
        <v>1452</v>
      </c>
      <c r="AP7" s="2">
        <v>559</v>
      </c>
      <c r="AQ7" s="2">
        <f t="shared" si="10"/>
        <v>8886</v>
      </c>
      <c r="AR7" s="2">
        <f>AQ7/E7</f>
        <v>7.0483533219112882E-2</v>
      </c>
    </row>
    <row r="8" spans="1:44" x14ac:dyDescent="0.2">
      <c r="A8" s="2" t="s">
        <v>6</v>
      </c>
      <c r="C8" s="2">
        <f t="shared" si="4"/>
        <v>0</v>
      </c>
      <c r="E8" s="2">
        <f>G8+H8++L8+F8+M8+Q8+R8+V8+W8+AA8+AB8+AF8+AG8</f>
        <v>134807</v>
      </c>
      <c r="G8" s="2">
        <v>8982</v>
      </c>
      <c r="H8" s="2">
        <v>9303</v>
      </c>
      <c r="I8" s="2">
        <f>(H8-G8)/SUM(G8:H8)</f>
        <v>1.7555373256767842E-2</v>
      </c>
      <c r="J8" s="2">
        <f>SUM(F8:H8)/$E8</f>
        <v>0.13563835705860972</v>
      </c>
      <c r="L8" s="2">
        <v>15851</v>
      </c>
      <c r="M8" s="2">
        <v>15515</v>
      </c>
      <c r="N8" s="2">
        <f>(M8-L8)/SUM(L8:M8)</f>
        <v>-1.0712236179302429E-2</v>
      </c>
      <c r="O8" s="2">
        <f>SUM(L8:M8)/E8</f>
        <v>0.23267337749523392</v>
      </c>
      <c r="Q8" s="2">
        <v>12921</v>
      </c>
      <c r="R8" s="2">
        <v>12550</v>
      </c>
      <c r="S8" s="2">
        <f>(R8-Q8)/SUM(Q8:R8)</f>
        <v>-1.4565584390090692E-2</v>
      </c>
      <c r="T8" s="2">
        <f>SUM(Q8:R8)/E8</f>
        <v>0.18894419429258125</v>
      </c>
      <c r="V8" s="2">
        <v>12077</v>
      </c>
      <c r="W8" s="2">
        <v>11260</v>
      </c>
      <c r="X8" s="2">
        <f t="shared" si="7"/>
        <v>3.5008784333890389E-2</v>
      </c>
      <c r="Y8" s="2">
        <f>SUM(V8:W8)/E8</f>
        <v>0.1731141557930968</v>
      </c>
      <c r="AA8" s="2">
        <v>12960</v>
      </c>
      <c r="AB8" s="2">
        <v>12111</v>
      </c>
      <c r="AC8" s="2">
        <f t="shared" si="8"/>
        <v>3.3863826732080889E-2</v>
      </c>
      <c r="AD8" s="2">
        <f>SUM(AA8:AB8)/E8</f>
        <v>0.18597698932548012</v>
      </c>
      <c r="AF8" s="2">
        <v>6031</v>
      </c>
      <c r="AG8" s="2">
        <v>5246</v>
      </c>
      <c r="AH8" s="2">
        <f t="shared" si="9"/>
        <v>6.9610712068812627E-2</v>
      </c>
      <c r="AI8" s="2">
        <f>SUM(AF8:AG8)/E8</f>
        <v>8.3652926034998187E-2</v>
      </c>
      <c r="AK8" s="2">
        <v>1425</v>
      </c>
      <c r="AL8" s="2">
        <v>2456</v>
      </c>
      <c r="AM8" s="2">
        <v>1973</v>
      </c>
      <c r="AN8" s="2">
        <v>1443</v>
      </c>
      <c r="AO8" s="2">
        <v>1501</v>
      </c>
      <c r="AP8" s="2">
        <v>730</v>
      </c>
      <c r="AQ8" s="2">
        <f t="shared" si="10"/>
        <v>9528</v>
      </c>
      <c r="AR8" s="2">
        <f>AQ8/E8</f>
        <v>7.0678822316348561E-2</v>
      </c>
    </row>
    <row r="9" spans="1:44" x14ac:dyDescent="0.2">
      <c r="A9" s="2" t="s">
        <v>7</v>
      </c>
      <c r="C9" s="2">
        <f t="shared" si="4"/>
        <v>0</v>
      </c>
      <c r="E9" s="2">
        <f>G9+H9++L9+F9+M9+Q9+R9+V9+W9+AA9+AB9+AF9+AG9</f>
        <v>119019</v>
      </c>
      <c r="G9" s="2">
        <v>4537</v>
      </c>
      <c r="H9" s="2">
        <v>4249</v>
      </c>
      <c r="I9" s="2">
        <f>(H9-G9)/SUM(G9:H9)</f>
        <v>-3.2779421807420897E-2</v>
      </c>
      <c r="J9" s="2">
        <f>SUM(F9:H9)/$E9</f>
        <v>7.3820146363185707E-2</v>
      </c>
      <c r="L9" s="2">
        <v>14877</v>
      </c>
      <c r="M9" s="2">
        <v>14703</v>
      </c>
      <c r="N9" s="2">
        <f>(M9-L9)/SUM(L9:M9)</f>
        <v>-5.8823529411764705E-3</v>
      </c>
      <c r="O9" s="2">
        <f>SUM(L9:M9)/E9</f>
        <v>0.24853174703198649</v>
      </c>
      <c r="Q9" s="2">
        <v>14904</v>
      </c>
      <c r="R9" s="2">
        <v>14711</v>
      </c>
      <c r="S9" s="2">
        <f>(R9-Q9)/SUM(Q9:R9)</f>
        <v>-6.5169677528279591E-3</v>
      </c>
      <c r="T9" s="2">
        <f>SUM(Q9:R9)/E9</f>
        <v>0.24882581772658147</v>
      </c>
      <c r="V9" s="2">
        <v>13097</v>
      </c>
      <c r="W9" s="2">
        <v>12114</v>
      </c>
      <c r="X9" s="2">
        <f t="shared" si="7"/>
        <v>3.8990916663361234E-2</v>
      </c>
      <c r="Y9" s="2">
        <f>SUM(V9:W9)/E9</f>
        <v>0.21182332232668732</v>
      </c>
      <c r="AA9" s="2">
        <v>11174</v>
      </c>
      <c r="AB9" s="2">
        <v>10542</v>
      </c>
      <c r="AC9" s="2">
        <f t="shared" si="8"/>
        <v>2.9102965555350892E-2</v>
      </c>
      <c r="AD9" s="2">
        <f>SUM(AA9:AB9)/E9</f>
        <v>0.18245826296641712</v>
      </c>
      <c r="AF9" s="2">
        <v>2108</v>
      </c>
      <c r="AG9" s="2">
        <v>2003</v>
      </c>
      <c r="AH9" s="2">
        <f t="shared" si="9"/>
        <v>2.5541230844076866E-2</v>
      </c>
      <c r="AI9" s="2">
        <f>SUM(AF9:AG9)/E9</f>
        <v>3.4540703585141871E-2</v>
      </c>
      <c r="AK9" s="2">
        <v>657</v>
      </c>
      <c r="AL9" s="2">
        <v>2356</v>
      </c>
      <c r="AM9" s="2">
        <v>2237</v>
      </c>
      <c r="AN9" s="2">
        <v>1616</v>
      </c>
      <c r="AO9" s="2">
        <v>1196</v>
      </c>
      <c r="AP9" s="2">
        <v>328</v>
      </c>
      <c r="AQ9" s="2">
        <f t="shared" si="10"/>
        <v>8390</v>
      </c>
      <c r="AR9" s="2">
        <f>AQ9/E9</f>
        <v>7.049294650433964E-2</v>
      </c>
    </row>
    <row r="10" spans="1:44" x14ac:dyDescent="0.2">
      <c r="A10" s="2" t="s">
        <v>28</v>
      </c>
      <c r="C10" s="2">
        <f t="shared" si="4"/>
        <v>0</v>
      </c>
      <c r="E10" s="2">
        <f>G10+H10++L10+F10+M10+Q10+R10+V10+W10+AA10+AB10+AF10+AG10</f>
        <v>143197</v>
      </c>
      <c r="G10" s="2">
        <v>14219</v>
      </c>
      <c r="H10" s="2">
        <v>15378</v>
      </c>
      <c r="I10" s="2">
        <f>(H10-G10)/SUM(G10:H10)</f>
        <v>3.9159374260904822E-2</v>
      </c>
      <c r="J10" s="2">
        <f>SUM(F10:H10)/$E10</f>
        <v>0.20668729093486596</v>
      </c>
      <c r="L10" s="2">
        <v>11861</v>
      </c>
      <c r="M10" s="2">
        <v>12273</v>
      </c>
      <c r="N10" s="2">
        <f t="shared" ref="N10:N14" si="11">(M10-L10)/SUM(L10:M10)</f>
        <v>1.7071351620120991E-2</v>
      </c>
      <c r="O10" s="2">
        <f>SUM(L10:M10)/E10</f>
        <v>0.16853705035720021</v>
      </c>
      <c r="Q10" s="2">
        <v>10748</v>
      </c>
      <c r="R10" s="2">
        <v>10501</v>
      </c>
      <c r="S10" s="2">
        <f t="shared" ref="S10:S14" si="12">(R10-Q10)/SUM(Q10:R10)</f>
        <v>-1.1624076427125983E-2</v>
      </c>
      <c r="T10" s="2">
        <f>SUM(Q10:R10)/E10</f>
        <v>0.14838998023701613</v>
      </c>
      <c r="V10" s="2">
        <v>10150</v>
      </c>
      <c r="W10" s="2">
        <v>9421</v>
      </c>
      <c r="X10" s="2">
        <f t="shared" si="7"/>
        <v>3.7248990853814321E-2</v>
      </c>
      <c r="Y10" s="2">
        <f>SUM(V10:W10)/E10</f>
        <v>0.1366718576506491</v>
      </c>
      <c r="AA10" s="2">
        <v>11768</v>
      </c>
      <c r="AB10" s="2">
        <v>10353</v>
      </c>
      <c r="AC10" s="2">
        <f t="shared" ref="AC10:AC14" si="13">(AA10-AB10)/SUM(AA10:AB10)</f>
        <v>6.3966366800777538E-2</v>
      </c>
      <c r="AD10" s="2">
        <f>SUM(AA10:AB10)/E10</f>
        <v>0.15447949328547386</v>
      </c>
      <c r="AF10" s="2">
        <v>14255</v>
      </c>
      <c r="AG10" s="2">
        <v>12270</v>
      </c>
      <c r="AH10" s="2">
        <f t="shared" ref="AH10:AH14" si="14">(AF10-AG10)/SUM(AF10:AG10)</f>
        <v>7.4835061262959468E-2</v>
      </c>
      <c r="AI10" s="2">
        <f>SUM(AF10:AG10)/E10</f>
        <v>0.18523432753479471</v>
      </c>
      <c r="AK10" s="2">
        <v>2323</v>
      </c>
      <c r="AL10" s="2">
        <v>1738</v>
      </c>
      <c r="AM10" s="2">
        <v>1573</v>
      </c>
      <c r="AN10" s="2">
        <v>1355</v>
      </c>
      <c r="AO10" s="2">
        <v>1507</v>
      </c>
      <c r="AP10" s="2">
        <v>1567</v>
      </c>
      <c r="AQ10" s="2">
        <f t="shared" ref="AQ10:AQ14" si="15">SUM(AK10:AP10)</f>
        <v>10063</v>
      </c>
      <c r="AR10" s="2">
        <f>AQ10/E10</f>
        <v>7.0273818585584888E-2</v>
      </c>
    </row>
    <row r="11" spans="1:44" x14ac:dyDescent="0.2">
      <c r="A11" s="2" t="s">
        <v>29</v>
      </c>
      <c r="C11" s="2">
        <f t="shared" si="4"/>
        <v>0</v>
      </c>
      <c r="E11" s="2">
        <f>G11+H11++L11+F11+M11+Q11+R11+V11+W11+AA11+AB11+AF11+AG11</f>
        <v>111876</v>
      </c>
      <c r="G11" s="2">
        <v>5933</v>
      </c>
      <c r="H11" s="2">
        <v>6332</v>
      </c>
      <c r="I11" s="2">
        <f>(H11-G11)/SUM(G11:H11)</f>
        <v>3.2531593966571543E-2</v>
      </c>
      <c r="J11" s="2">
        <f>SUM(F11:H11)/$E11</f>
        <v>0.10963030498051414</v>
      </c>
      <c r="L11" s="2">
        <v>10275</v>
      </c>
      <c r="M11" s="2">
        <v>11078</v>
      </c>
      <c r="N11" s="2">
        <f t="shared" si="11"/>
        <v>3.7605957008382894E-2</v>
      </c>
      <c r="O11" s="2">
        <f>SUM(L11:M11)/E11</f>
        <v>0.19086309843040508</v>
      </c>
      <c r="Q11" s="2">
        <v>12747</v>
      </c>
      <c r="R11" s="2">
        <v>12824</v>
      </c>
      <c r="S11" s="2">
        <f t="shared" si="12"/>
        <v>3.011223651793047E-3</v>
      </c>
      <c r="T11" s="2">
        <f>SUM(Q11:R11)/E11</f>
        <v>0.22856555472129858</v>
      </c>
      <c r="V11" s="2">
        <v>12058</v>
      </c>
      <c r="W11" s="2">
        <v>10941</v>
      </c>
      <c r="X11" s="2">
        <f t="shared" si="7"/>
        <v>4.8567329014304973E-2</v>
      </c>
      <c r="Y11" s="2">
        <f>SUM(V11:W11)/E11</f>
        <v>0.20557581608209088</v>
      </c>
      <c r="AA11" s="2">
        <v>9969</v>
      </c>
      <c r="AB11" s="2">
        <v>8767</v>
      </c>
      <c r="AC11" s="2">
        <f t="shared" si="13"/>
        <v>6.4154568744662688E-2</v>
      </c>
      <c r="AD11" s="2">
        <f>SUM(AA11:AB11)/E11</f>
        <v>0.16747112874968714</v>
      </c>
      <c r="AF11" s="2">
        <v>6002</v>
      </c>
      <c r="AG11" s="2">
        <v>4950</v>
      </c>
      <c r="AH11" s="2">
        <f t="shared" si="14"/>
        <v>9.6055514974433889E-2</v>
      </c>
      <c r="AI11" s="2">
        <f>SUM(AF11:AG11)/E11</f>
        <v>9.7894097036004143E-2</v>
      </c>
      <c r="AK11" s="2">
        <v>965</v>
      </c>
      <c r="AL11" s="2">
        <v>1576</v>
      </c>
      <c r="AM11" s="2">
        <v>1940</v>
      </c>
      <c r="AN11" s="2">
        <v>1452</v>
      </c>
      <c r="AO11" s="2">
        <v>1142</v>
      </c>
      <c r="AP11" s="2">
        <v>577</v>
      </c>
      <c r="AQ11" s="2">
        <f t="shared" si="15"/>
        <v>7652</v>
      </c>
      <c r="AR11" s="2">
        <f>AQ11/E11</f>
        <v>6.8397153991919632E-2</v>
      </c>
    </row>
    <row r="12" spans="1:44" ht="17" customHeight="1" x14ac:dyDescent="0.2">
      <c r="A12" s="2" t="s">
        <v>30</v>
      </c>
      <c r="C12" s="2">
        <f t="shared" si="4"/>
        <v>0</v>
      </c>
      <c r="E12" s="2">
        <f>G12+H12++L12+F12+M12+Q12+R12+V12+W12+AA12+AB12+AF12+AG12</f>
        <v>58514</v>
      </c>
      <c r="G12" s="2">
        <v>363</v>
      </c>
      <c r="H12" s="2">
        <v>371</v>
      </c>
      <c r="I12" s="2">
        <f>(H12-G12)/SUM(G12:H12)</f>
        <v>1.0899182561307902E-2</v>
      </c>
      <c r="J12" s="2">
        <f>SUM(F12:H12)/$E12</f>
        <v>1.2544006562532043E-2</v>
      </c>
      <c r="L12" s="2">
        <v>3885</v>
      </c>
      <c r="M12" s="2">
        <v>4128</v>
      </c>
      <c r="N12" s="2">
        <f t="shared" si="11"/>
        <v>3.0325720703856234E-2</v>
      </c>
      <c r="O12" s="2">
        <f>SUM(L12:M12)/E12</f>
        <v>0.13694158662884096</v>
      </c>
      <c r="Q12" s="2">
        <v>11111</v>
      </c>
      <c r="R12" s="2">
        <v>11727</v>
      </c>
      <c r="S12" s="2">
        <f t="shared" si="12"/>
        <v>2.6972589543742886E-2</v>
      </c>
      <c r="T12" s="2">
        <f>SUM(Q12:R12)/E12</f>
        <v>0.39029975732303379</v>
      </c>
      <c r="V12" s="2">
        <v>10420</v>
      </c>
      <c r="W12" s="2">
        <v>9016</v>
      </c>
      <c r="X12" s="2">
        <f t="shared" si="7"/>
        <v>7.2237085820127597E-2</v>
      </c>
      <c r="Y12" s="2">
        <f>SUM(V12:W12)/E12</f>
        <v>0.33215982499914548</v>
      </c>
      <c r="AA12" s="2">
        <v>3675</v>
      </c>
      <c r="AB12" s="2">
        <v>3094</v>
      </c>
      <c r="AC12" s="2">
        <f t="shared" si="13"/>
        <v>8.583247156153051E-2</v>
      </c>
      <c r="AD12" s="2">
        <f>SUM(AA12:AB12)/E12</f>
        <v>0.11568171719588474</v>
      </c>
      <c r="AF12" s="2">
        <v>376</v>
      </c>
      <c r="AG12" s="2">
        <v>348</v>
      </c>
      <c r="AH12" s="2">
        <f t="shared" si="14"/>
        <v>3.8674033149171269E-2</v>
      </c>
      <c r="AI12" s="2">
        <f>SUM(AF12:AG12)/E12</f>
        <v>1.2373107290562943E-2</v>
      </c>
      <c r="AK12" s="2">
        <v>33</v>
      </c>
      <c r="AL12" s="2">
        <v>564</v>
      </c>
      <c r="AM12" s="2">
        <v>1819</v>
      </c>
      <c r="AN12" s="2">
        <v>1083</v>
      </c>
      <c r="AO12" s="2">
        <v>307</v>
      </c>
      <c r="AP12" s="2">
        <v>27</v>
      </c>
      <c r="AQ12" s="2">
        <f t="shared" si="15"/>
        <v>3833</v>
      </c>
      <c r="AR12" s="2">
        <f>AQ12/E12</f>
        <v>6.5505690945756576E-2</v>
      </c>
    </row>
    <row r="13" spans="1:44" x14ac:dyDescent="0.2">
      <c r="A13" s="1" t="s">
        <v>31</v>
      </c>
      <c r="B13" s="1"/>
      <c r="C13" s="1">
        <f t="shared" si="4"/>
        <v>1</v>
      </c>
      <c r="E13" s="2">
        <f>G13+H13++L13+F13+M13+Q13+R13+V13+W13+AA13+AB13+AF13+AG13</f>
        <v>74871</v>
      </c>
      <c r="G13" s="2">
        <v>507</v>
      </c>
      <c r="H13" s="2">
        <v>530</v>
      </c>
      <c r="I13" s="2">
        <f>(H13-G13)/SUM(G13:H13)</f>
        <v>2.2179363548698167E-2</v>
      </c>
      <c r="J13" s="2">
        <f>SUM(F13:H13)/$E13</f>
        <v>1.3850489508621496E-2</v>
      </c>
      <c r="L13" s="2">
        <v>6044</v>
      </c>
      <c r="M13" s="2">
        <v>6375</v>
      </c>
      <c r="N13" s="2">
        <f t="shared" si="11"/>
        <v>2.665270955793542E-2</v>
      </c>
      <c r="O13" s="2">
        <f>SUM(L13:M13)/E13</f>
        <v>0.16587196644895888</v>
      </c>
      <c r="Q13" s="2">
        <v>13771</v>
      </c>
      <c r="R13" s="2">
        <v>14255</v>
      </c>
      <c r="S13" s="2">
        <f t="shared" si="12"/>
        <v>1.7269678155998003E-2</v>
      </c>
      <c r="T13" s="2">
        <f>SUM(Q13:R13)/E13</f>
        <v>0.37432383699963939</v>
      </c>
      <c r="V13" s="2">
        <v>11976</v>
      </c>
      <c r="W13" s="2">
        <v>10752</v>
      </c>
      <c r="X13" s="2">
        <f t="shared" si="7"/>
        <v>5.385427666314678E-2</v>
      </c>
      <c r="Y13" s="2">
        <f>SUM(V13:W13)/E13</f>
        <v>0.30356212685819611</v>
      </c>
      <c r="AA13" s="2">
        <v>5285</v>
      </c>
      <c r="AB13" s="2">
        <v>4469</v>
      </c>
      <c r="AC13" s="2">
        <f t="shared" si="13"/>
        <v>8.3657986467090426E-2</v>
      </c>
      <c r="AD13" s="2">
        <f>SUM(AA13:AB13)/E13</f>
        <v>0.13027741047935784</v>
      </c>
      <c r="AF13" s="2">
        <v>494</v>
      </c>
      <c r="AG13" s="2">
        <v>413</v>
      </c>
      <c r="AH13" s="2">
        <f t="shared" si="14"/>
        <v>8.9305402425578828E-2</v>
      </c>
      <c r="AI13" s="2">
        <f>SUM(AF13:AG13)/E13</f>
        <v>1.2114169705226323E-2</v>
      </c>
      <c r="AK13" s="2">
        <v>48</v>
      </c>
      <c r="AL13" s="2">
        <v>948</v>
      </c>
      <c r="AM13" s="2">
        <v>2238</v>
      </c>
      <c r="AN13" s="2">
        <v>1393</v>
      </c>
      <c r="AO13" s="2">
        <v>482</v>
      </c>
      <c r="AP13" s="2">
        <v>29</v>
      </c>
      <c r="AQ13" s="2">
        <f t="shared" si="15"/>
        <v>5138</v>
      </c>
      <c r="AR13" s="2">
        <f>AQ13/E13</f>
        <v>6.8624701152649223E-2</v>
      </c>
    </row>
    <row r="14" spans="1:44" x14ac:dyDescent="0.2">
      <c r="A14" s="2" t="s">
        <v>32</v>
      </c>
      <c r="C14" s="2">
        <f t="shared" si="4"/>
        <v>0</v>
      </c>
      <c r="E14" s="2">
        <f>G14+H14++L14+F14+M14+Q14+R14+V14+W14+AA14+AB14+AF14+AG14</f>
        <v>123099</v>
      </c>
      <c r="G14" s="2">
        <v>6328</v>
      </c>
      <c r="H14" s="2">
        <v>6609</v>
      </c>
      <c r="I14" s="2">
        <f>(H14-G14)/SUM(G14:H14)</f>
        <v>2.1720646208549122E-2</v>
      </c>
      <c r="J14" s="2">
        <f>SUM(F14:H14)/$E14</f>
        <v>0.10509427371465244</v>
      </c>
      <c r="L14" s="2">
        <v>14483</v>
      </c>
      <c r="M14" s="2">
        <v>14233</v>
      </c>
      <c r="N14" s="2">
        <f t="shared" si="11"/>
        <v>-8.7059479036077445E-3</v>
      </c>
      <c r="O14" s="2">
        <f>SUM(L14:M14)/E14</f>
        <v>0.23327565617917287</v>
      </c>
      <c r="Q14" s="2">
        <v>13549</v>
      </c>
      <c r="R14" s="2">
        <v>13439</v>
      </c>
      <c r="S14" s="2">
        <f t="shared" si="12"/>
        <v>-4.0758855787757526E-3</v>
      </c>
      <c r="T14" s="2">
        <f>SUM(Q14:R14)/E14</f>
        <v>0.2192381741525114</v>
      </c>
      <c r="V14" s="2">
        <v>12298</v>
      </c>
      <c r="W14" s="2">
        <v>11508</v>
      </c>
      <c r="X14" s="2">
        <f t="shared" si="7"/>
        <v>3.31849113668823E-2</v>
      </c>
      <c r="Y14" s="2">
        <f>SUM(V14:W14)/E14</f>
        <v>0.19338906083721233</v>
      </c>
      <c r="AA14" s="2">
        <v>11755</v>
      </c>
      <c r="AB14" s="2">
        <v>10774</v>
      </c>
      <c r="AC14" s="2">
        <f t="shared" si="13"/>
        <v>4.3543876781037771E-2</v>
      </c>
      <c r="AD14" s="2">
        <f>SUM(AA14:AB14)/E14</f>
        <v>0.18301529663116678</v>
      </c>
      <c r="AF14" s="2">
        <v>4394</v>
      </c>
      <c r="AG14" s="2">
        <v>3729</v>
      </c>
      <c r="AH14" s="2">
        <f t="shared" si="14"/>
        <v>8.1866305552135907E-2</v>
      </c>
      <c r="AI14" s="2">
        <f>SUM(AF14:AG14)/E14</f>
        <v>6.59875384852842E-2</v>
      </c>
      <c r="AK14" s="2">
        <v>1016</v>
      </c>
      <c r="AL14" s="2">
        <v>2199</v>
      </c>
      <c r="AM14" s="2">
        <v>2103</v>
      </c>
      <c r="AN14" s="2">
        <v>1449</v>
      </c>
      <c r="AO14" s="2">
        <v>1338</v>
      </c>
      <c r="AP14" s="2">
        <v>556</v>
      </c>
      <c r="AQ14" s="2">
        <f t="shared" si="15"/>
        <v>8661</v>
      </c>
      <c r="AR14" s="2">
        <f>AQ14/E14</f>
        <v>7.0358004532936905E-2</v>
      </c>
    </row>
    <row r="15" spans="1:44" x14ac:dyDescent="0.2">
      <c r="A15" s="2" t="s">
        <v>36</v>
      </c>
      <c r="C15" s="2">
        <f t="shared" si="4"/>
        <v>0</v>
      </c>
      <c r="E15" s="2">
        <f>G15+H15++L15+F15+M15+Q15+R15+V15+W15+AA15+AB15+AF15+AG15</f>
        <v>137492</v>
      </c>
      <c r="G15" s="2">
        <v>9164</v>
      </c>
      <c r="H15" s="2">
        <v>9368</v>
      </c>
      <c r="I15" s="2">
        <f>(H15-G15)/SUM(G15:H15)</f>
        <v>1.1007986186056551E-2</v>
      </c>
      <c r="J15" s="2">
        <f>SUM(F15:H15)/$E15</f>
        <v>0.13478602391411865</v>
      </c>
      <c r="L15" s="2">
        <v>16274</v>
      </c>
      <c r="M15" s="2">
        <v>15918</v>
      </c>
      <c r="N15" s="2">
        <f t="shared" ref="N15:N35" si="16">(M15-L15)/SUM(L15:M15)</f>
        <v>-1.1058648111332009E-2</v>
      </c>
      <c r="O15" s="2">
        <f>SUM(L15:M15)/E15</f>
        <v>0.23413725889506298</v>
      </c>
      <c r="Q15" s="2">
        <v>13413</v>
      </c>
      <c r="R15" s="2">
        <v>12702</v>
      </c>
      <c r="S15" s="2">
        <f t="shared" ref="S15:S35" si="17">(R15-Q15)/SUM(Q15:R15)</f>
        <v>-2.7225732337736931E-2</v>
      </c>
      <c r="T15" s="2">
        <f>SUM(Q15:R15)/E15</f>
        <v>0.18993832368428709</v>
      </c>
      <c r="V15" s="2">
        <v>12311</v>
      </c>
      <c r="W15" s="2">
        <v>11401</v>
      </c>
      <c r="X15" s="2">
        <f t="shared" ref="X15:X35" si="18">(V15-W15)/SUM(V15:W15)</f>
        <v>3.8377192982456142E-2</v>
      </c>
      <c r="Y15" s="2">
        <f>SUM(V15:W15)/E15</f>
        <v>0.17246094318214877</v>
      </c>
      <c r="AA15" s="2">
        <v>13128</v>
      </c>
      <c r="AB15" s="2">
        <v>12404</v>
      </c>
      <c r="AC15" s="2">
        <f t="shared" ref="AC15:AC35" si="19">(AA15-AB15)/SUM(AA15:AB15)</f>
        <v>2.8356572144759517E-2</v>
      </c>
      <c r="AD15" s="2">
        <f>SUM(AA15:AB15)/E15</f>
        <v>0.18569807697902424</v>
      </c>
      <c r="AF15" s="2">
        <v>6143</v>
      </c>
      <c r="AG15" s="2">
        <v>5266</v>
      </c>
      <c r="AH15" s="2">
        <f t="shared" ref="AH15:AH35" si="20">(AF15-AG15)/SUM(AF15:AG15)</f>
        <v>7.6869138399509165E-2</v>
      </c>
      <c r="AI15" s="2">
        <f>SUM(AF15:AG15)/E15</f>
        <v>8.2979373345358279E-2</v>
      </c>
      <c r="AK15" s="2">
        <v>1069</v>
      </c>
      <c r="AL15" s="2">
        <v>1635</v>
      </c>
      <c r="AM15" s="2">
        <v>1354</v>
      </c>
      <c r="AN15" s="2">
        <v>1103</v>
      </c>
      <c r="AO15" s="2">
        <v>1060</v>
      </c>
      <c r="AP15" s="2">
        <v>540</v>
      </c>
      <c r="AQ15" s="2">
        <f t="shared" ref="AQ15:AQ35" si="21">SUM(AK15:AP15)</f>
        <v>6761</v>
      </c>
      <c r="AR15" s="2">
        <f>AQ15/E15</f>
        <v>4.9173770110260959E-2</v>
      </c>
    </row>
    <row r="16" spans="1:44" x14ac:dyDescent="0.2">
      <c r="A16" s="2" t="s">
        <v>37</v>
      </c>
      <c r="C16" s="2">
        <f t="shared" si="4"/>
        <v>0</v>
      </c>
      <c r="E16" s="2">
        <f>G16+H16++L16+F16+M16+Q16+R16+V16+W16+AA16+AB16+AF16+AG16</f>
        <v>121304</v>
      </c>
      <c r="G16" s="2">
        <v>4573</v>
      </c>
      <c r="H16" s="2">
        <v>4259</v>
      </c>
      <c r="I16" s="2">
        <f>(H16-G16)/SUM(G16:H16)</f>
        <v>-3.5552536231884056E-2</v>
      </c>
      <c r="J16" s="2">
        <f>SUM(F16:H16)/$E16</f>
        <v>7.2808810921321632E-2</v>
      </c>
      <c r="L16" s="2">
        <v>15201</v>
      </c>
      <c r="M16" s="2">
        <v>15177</v>
      </c>
      <c r="N16" s="2">
        <f t="shared" si="16"/>
        <v>-7.9004542761208774E-4</v>
      </c>
      <c r="O16" s="2">
        <f>SUM(L16:M16)/E16</f>
        <v>0.25042867506430128</v>
      </c>
      <c r="Q16" s="2">
        <v>15370</v>
      </c>
      <c r="R16" s="2">
        <v>14910</v>
      </c>
      <c r="S16" s="2">
        <f t="shared" si="17"/>
        <v>-1.5191545574636724E-2</v>
      </c>
      <c r="T16" s="2">
        <f>SUM(Q16:R16)/E16</f>
        <v>0.24962078744311811</v>
      </c>
      <c r="V16" s="2">
        <v>13462</v>
      </c>
      <c r="W16" s="2">
        <v>12283</v>
      </c>
      <c r="X16" s="2">
        <f t="shared" si="18"/>
        <v>4.5795300058263738E-2</v>
      </c>
      <c r="Y16" s="2">
        <f>SUM(V16:W16)/E16</f>
        <v>0.21223537558530634</v>
      </c>
      <c r="AA16" s="2">
        <v>11394</v>
      </c>
      <c r="AB16" s="2">
        <v>10550</v>
      </c>
      <c r="AC16" s="2">
        <f t="shared" si="19"/>
        <v>3.8461538461538464E-2</v>
      </c>
      <c r="AD16" s="2">
        <f>SUM(AA16:AB16)/E16</f>
        <v>0.18090087713513156</v>
      </c>
      <c r="AF16" s="2">
        <v>2109</v>
      </c>
      <c r="AG16" s="2">
        <v>2016</v>
      </c>
      <c r="AH16" s="2">
        <f t="shared" si="20"/>
        <v>2.2545454545454546E-2</v>
      </c>
      <c r="AI16" s="2">
        <f>SUM(AF16:AG16)/E16</f>
        <v>3.4005473850821075E-2</v>
      </c>
      <c r="AK16" s="2">
        <v>495</v>
      </c>
      <c r="AL16" s="2">
        <v>1553</v>
      </c>
      <c r="AM16" s="2">
        <v>1636</v>
      </c>
      <c r="AN16" s="2">
        <v>1131</v>
      </c>
      <c r="AO16" s="2">
        <v>935</v>
      </c>
      <c r="AP16" s="2">
        <v>262</v>
      </c>
      <c r="AQ16" s="2">
        <f t="shared" si="21"/>
        <v>6012</v>
      </c>
      <c r="AR16" s="2">
        <f>AQ16/E16</f>
        <v>4.9561432434214868E-2</v>
      </c>
    </row>
    <row r="17" spans="1:44" x14ac:dyDescent="0.2">
      <c r="A17" s="2" t="s">
        <v>38</v>
      </c>
      <c r="C17" s="2">
        <f t="shared" si="4"/>
        <v>0</v>
      </c>
      <c r="E17" s="2">
        <f>G17+H17++L17+F17+M17+Q17+R17+V17+W17+AA17+AB17+AF17+AG17</f>
        <v>128641</v>
      </c>
      <c r="G17" s="2">
        <v>6344</v>
      </c>
      <c r="H17" s="2">
        <v>6438</v>
      </c>
      <c r="I17" s="2">
        <f>(H17-G17)/SUM(G17:H17)</f>
        <v>7.3540916914410894E-3</v>
      </c>
      <c r="J17" s="2">
        <f>SUM(F17:H17)/$E17</f>
        <v>9.9361789787081878E-2</v>
      </c>
      <c r="L17" s="2">
        <v>15157</v>
      </c>
      <c r="M17" s="2">
        <v>14851</v>
      </c>
      <c r="N17" s="2">
        <f t="shared" si="16"/>
        <v>-1.0197280725139963E-2</v>
      </c>
      <c r="O17" s="2">
        <f>SUM(L17:M17)/E17</f>
        <v>0.23326933092870858</v>
      </c>
      <c r="Q17" s="2">
        <v>14383</v>
      </c>
      <c r="R17" s="2">
        <v>13818</v>
      </c>
      <c r="S17" s="2">
        <f t="shared" si="17"/>
        <v>-2.0034750540760964E-2</v>
      </c>
      <c r="T17" s="2">
        <f>SUM(Q17:R17)/E17</f>
        <v>0.21922248738738037</v>
      </c>
      <c r="V17" s="2">
        <v>13073</v>
      </c>
      <c r="W17" s="2">
        <v>12329</v>
      </c>
      <c r="X17" s="2">
        <f t="shared" si="18"/>
        <v>2.9289032359656721E-2</v>
      </c>
      <c r="Y17" s="2">
        <f>SUM(V17:W17)/E17</f>
        <v>0.19746426100543374</v>
      </c>
      <c r="AA17" s="2">
        <v>12536</v>
      </c>
      <c r="AB17" s="2">
        <v>11573</v>
      </c>
      <c r="AC17" s="2">
        <f t="shared" si="19"/>
        <v>3.9943589530880584E-2</v>
      </c>
      <c r="AD17" s="2">
        <f>SUM(AA17:AB17)/E17</f>
        <v>0.18741303316982921</v>
      </c>
      <c r="AF17" s="2">
        <v>4430</v>
      </c>
      <c r="AG17" s="2">
        <v>3709</v>
      </c>
      <c r="AH17" s="2">
        <f t="shared" si="20"/>
        <v>8.8585821353974692E-2</v>
      </c>
      <c r="AI17" s="2">
        <f>SUM(AF17:AG17)/E17</f>
        <v>6.326909772156622E-2</v>
      </c>
      <c r="AK17" s="2">
        <v>737</v>
      </c>
      <c r="AL17" s="2">
        <v>1559</v>
      </c>
      <c r="AM17" s="2">
        <v>1390</v>
      </c>
      <c r="AN17" s="2">
        <v>1156</v>
      </c>
      <c r="AO17" s="2">
        <v>1026</v>
      </c>
      <c r="AP17" s="2">
        <v>437</v>
      </c>
      <c r="AQ17" s="2">
        <f t="shared" si="21"/>
        <v>6305</v>
      </c>
      <c r="AR17" s="2">
        <f>AQ17/E17</f>
        <v>4.9012367752116356E-2</v>
      </c>
    </row>
    <row r="18" spans="1:44" x14ac:dyDescent="0.2">
      <c r="A18" s="2" t="s">
        <v>39</v>
      </c>
      <c r="C18" s="2">
        <f t="shared" si="4"/>
        <v>0</v>
      </c>
      <c r="E18" s="2">
        <f>G18+H18++L18+F18+M18+Q18+R18+V18+W18+AA18+AB18+AF18+AG18</f>
        <v>93970</v>
      </c>
      <c r="G18" s="2">
        <v>1246</v>
      </c>
      <c r="H18" s="2">
        <v>1351</v>
      </c>
      <c r="I18" s="2">
        <f>(H18-G18)/SUM(G18:H18)</f>
        <v>4.0431266846361183E-2</v>
      </c>
      <c r="J18" s="2">
        <f>SUM(F18:H18)/$E18</f>
        <v>2.7636479727572629E-2</v>
      </c>
      <c r="L18" s="2">
        <v>10539</v>
      </c>
      <c r="M18" s="2">
        <v>10186</v>
      </c>
      <c r="N18" s="2">
        <f t="shared" si="16"/>
        <v>-1.7032569360675511E-2</v>
      </c>
      <c r="O18" s="2">
        <f>SUM(L18:M18)/E18</f>
        <v>0.22054911141853784</v>
      </c>
      <c r="Q18" s="2">
        <v>15629</v>
      </c>
      <c r="R18" s="2">
        <v>15059</v>
      </c>
      <c r="S18" s="2">
        <f t="shared" si="17"/>
        <v>-1.8574035453597499E-2</v>
      </c>
      <c r="T18" s="2">
        <f>SUM(Q18:R18)/E18</f>
        <v>0.32657231031180162</v>
      </c>
      <c r="V18" s="2">
        <v>12771</v>
      </c>
      <c r="W18" s="2">
        <v>11909</v>
      </c>
      <c r="X18" s="2">
        <f t="shared" si="18"/>
        <v>3.4927066450567264E-2</v>
      </c>
      <c r="Y18" s="2">
        <f>SUM(V18:W18)/E18</f>
        <v>0.2626370118122805</v>
      </c>
      <c r="AA18" s="2">
        <v>7279</v>
      </c>
      <c r="AB18" s="2">
        <v>6758</v>
      </c>
      <c r="AC18" s="2">
        <f t="shared" si="19"/>
        <v>3.7116192918714826E-2</v>
      </c>
      <c r="AD18" s="2">
        <f>SUM(AA18:AB18)/E18</f>
        <v>0.14937746089177398</v>
      </c>
      <c r="AF18" s="2">
        <v>619</v>
      </c>
      <c r="AG18" s="2">
        <v>624</v>
      </c>
      <c r="AH18" s="2">
        <f t="shared" si="20"/>
        <v>-4.0225261464199519E-3</v>
      </c>
      <c r="AI18" s="2">
        <f>SUM(AF18:AG18)/E18</f>
        <v>1.3227625838033415E-2</v>
      </c>
      <c r="AK18" s="2">
        <v>184</v>
      </c>
      <c r="AL18" s="2">
        <v>1071</v>
      </c>
      <c r="AM18" s="2">
        <v>1583</v>
      </c>
      <c r="AN18" s="2">
        <v>1121</v>
      </c>
      <c r="AO18" s="2">
        <v>537</v>
      </c>
      <c r="AP18" s="2">
        <v>178</v>
      </c>
      <c r="AQ18" s="2">
        <f t="shared" si="21"/>
        <v>4674</v>
      </c>
      <c r="AR18" s="2">
        <f>AQ18/E18</f>
        <v>4.9739278493136106E-2</v>
      </c>
    </row>
    <row r="19" spans="1:44" x14ac:dyDescent="0.2">
      <c r="A19" s="2" t="s">
        <v>40</v>
      </c>
      <c r="C19" s="2">
        <f t="shared" si="4"/>
        <v>0</v>
      </c>
      <c r="E19" s="2">
        <f>G19+H19++L19+F19+M19+Q19+R19+V19+W19+AA19+AB19+AF19+AG19</f>
        <v>114094</v>
      </c>
      <c r="G19" s="2">
        <v>6111</v>
      </c>
      <c r="H19" s="2">
        <v>6486</v>
      </c>
      <c r="I19" s="2">
        <f>(H19-G19)/SUM(G19:H19)</f>
        <v>2.9768992617289831E-2</v>
      </c>
      <c r="J19" s="2">
        <f>SUM(F19:H19)/$E19</f>
        <v>0.11040896103213139</v>
      </c>
      <c r="L19" s="2">
        <v>10677</v>
      </c>
      <c r="M19" s="2">
        <v>11053</v>
      </c>
      <c r="N19" s="2">
        <f t="shared" si="16"/>
        <v>1.7303267372296365E-2</v>
      </c>
      <c r="O19" s="2">
        <f>SUM(L19:M19)/E19</f>
        <v>0.19045699160341473</v>
      </c>
      <c r="Q19" s="2">
        <v>13236</v>
      </c>
      <c r="R19" s="2">
        <v>12906</v>
      </c>
      <c r="S19" s="2">
        <f t="shared" si="17"/>
        <v>-1.2623364700481983E-2</v>
      </c>
      <c r="T19" s="2">
        <f>SUM(Q19:R19)/E19</f>
        <v>0.22912686030816695</v>
      </c>
      <c r="V19" s="2">
        <v>12245</v>
      </c>
      <c r="W19" s="2">
        <v>11194</v>
      </c>
      <c r="X19" s="2">
        <f t="shared" si="18"/>
        <v>4.4839796919663812E-2</v>
      </c>
      <c r="Y19" s="2">
        <f>SUM(V19:W19)/E19</f>
        <v>0.20543586866969341</v>
      </c>
      <c r="AA19" s="2">
        <v>10096</v>
      </c>
      <c r="AB19" s="2">
        <v>8966</v>
      </c>
      <c r="AC19" s="2">
        <f t="shared" si="19"/>
        <v>5.9280243416220756E-2</v>
      </c>
      <c r="AD19" s="2">
        <f>SUM(AA19:AB19)/E19</f>
        <v>0.16707276456255368</v>
      </c>
      <c r="AF19" s="2">
        <v>6005</v>
      </c>
      <c r="AG19" s="2">
        <v>5119</v>
      </c>
      <c r="AH19" s="2">
        <f t="shared" si="20"/>
        <v>7.9647608773822362E-2</v>
      </c>
      <c r="AI19" s="2">
        <f>SUM(AF19:AG19)/E19</f>
        <v>9.7498553824039824E-2</v>
      </c>
      <c r="AK19" s="2">
        <v>655</v>
      </c>
      <c r="AL19" s="2">
        <v>1211</v>
      </c>
      <c r="AM19" s="2">
        <v>1359</v>
      </c>
      <c r="AN19" s="2">
        <v>1060</v>
      </c>
      <c r="AO19" s="2">
        <v>828</v>
      </c>
      <c r="AP19" s="2">
        <v>421</v>
      </c>
      <c r="AQ19" s="2">
        <f t="shared" si="21"/>
        <v>5534</v>
      </c>
      <c r="AR19" s="2">
        <f>AQ19/E19</f>
        <v>4.8503865233929917E-2</v>
      </c>
    </row>
    <row r="20" spans="1:44" x14ac:dyDescent="0.2">
      <c r="A20" s="1" t="s">
        <v>41</v>
      </c>
      <c r="B20" s="1"/>
      <c r="C20" s="1">
        <f t="shared" si="4"/>
        <v>1</v>
      </c>
      <c r="E20" s="2">
        <f>G20+H20++L20+F20+M20+Q20+R20+V20+W20+AA20+AB20+AF20+AG20</f>
        <v>77026</v>
      </c>
      <c r="G20" s="2">
        <v>1418</v>
      </c>
      <c r="H20" s="2">
        <v>1547</v>
      </c>
      <c r="I20" s="2">
        <f>(H20-G20)/SUM(G20:H20)</f>
        <v>4.350758853288364E-2</v>
      </c>
      <c r="J20" s="2">
        <f>SUM(F20:H20)/$E20</f>
        <v>3.8493495702749722E-2</v>
      </c>
      <c r="L20" s="2">
        <v>6401</v>
      </c>
      <c r="M20" s="2">
        <v>6624</v>
      </c>
      <c r="N20" s="2">
        <f t="shared" si="16"/>
        <v>1.7120921305182342E-2</v>
      </c>
      <c r="O20" s="2">
        <f>SUM(L20:M20)/E20</f>
        <v>0.16909874587801521</v>
      </c>
      <c r="Q20" s="2">
        <v>12590</v>
      </c>
      <c r="R20" s="2">
        <v>12877</v>
      </c>
      <c r="S20" s="2">
        <f t="shared" si="17"/>
        <v>1.1269486001492126E-2</v>
      </c>
      <c r="T20" s="2">
        <f>SUM(Q20:R20)/E20</f>
        <v>0.33062861890790124</v>
      </c>
      <c r="V20" s="2">
        <v>11618</v>
      </c>
      <c r="W20" s="2">
        <v>10307</v>
      </c>
      <c r="X20" s="2">
        <f t="shared" si="18"/>
        <v>5.9794754846066132E-2</v>
      </c>
      <c r="Y20" s="2">
        <f>SUM(V20:W20)/E20</f>
        <v>0.28464414613247474</v>
      </c>
      <c r="AA20" s="2">
        <v>5882</v>
      </c>
      <c r="AB20" s="2">
        <v>5113</v>
      </c>
      <c r="AC20" s="2">
        <f t="shared" si="19"/>
        <v>6.9940882219190537E-2</v>
      </c>
      <c r="AD20" s="2">
        <f>SUM(AA20:AB20)/E20</f>
        <v>0.14274400851660479</v>
      </c>
      <c r="AF20" s="2">
        <v>1432</v>
      </c>
      <c r="AG20" s="2">
        <v>1217</v>
      </c>
      <c r="AH20" s="2">
        <f t="shared" si="20"/>
        <v>8.116270290675727E-2</v>
      </c>
      <c r="AI20" s="2">
        <f>SUM(AF20:AG20)/E20</f>
        <v>3.4390984862254302E-2</v>
      </c>
      <c r="AK20" s="2">
        <v>132</v>
      </c>
      <c r="AL20" s="2">
        <v>718</v>
      </c>
      <c r="AM20" s="2">
        <v>1360</v>
      </c>
      <c r="AN20" s="2">
        <v>976</v>
      </c>
      <c r="AO20" s="2">
        <v>408</v>
      </c>
      <c r="AP20" s="2">
        <v>72</v>
      </c>
      <c r="AQ20" s="2">
        <f t="shared" si="21"/>
        <v>3666</v>
      </c>
      <c r="AR20" s="2">
        <f>AQ20/E20</f>
        <v>4.7594318801443665E-2</v>
      </c>
    </row>
    <row r="21" spans="1:44" x14ac:dyDescent="0.2">
      <c r="A21" s="1" t="s">
        <v>42</v>
      </c>
      <c r="B21" s="1"/>
      <c r="C21" s="1">
        <f t="shared" si="4"/>
        <v>0</v>
      </c>
      <c r="E21" s="2">
        <f>G21+H21++L21+F21+M21+Q21+R21+V21+W21+AA21+AB21+AF21+AG21</f>
        <v>55878</v>
      </c>
      <c r="G21" s="2">
        <v>428</v>
      </c>
      <c r="H21" s="2">
        <v>456</v>
      </c>
      <c r="I21" s="2">
        <f>(H21-G21)/SUM(G21:H21)</f>
        <v>3.1674208144796379E-2</v>
      </c>
      <c r="J21" s="2">
        <f>SUM(F21:H21)/$E21</f>
        <v>1.5820179677153798E-2</v>
      </c>
      <c r="L21" s="2">
        <v>3689</v>
      </c>
      <c r="M21" s="2">
        <v>3863</v>
      </c>
      <c r="N21" s="2">
        <f t="shared" si="16"/>
        <v>2.3040254237288137E-2</v>
      </c>
      <c r="O21" s="2">
        <f>SUM(L21:M21)/E21</f>
        <v>0.13515158022835463</v>
      </c>
      <c r="Q21" s="2">
        <v>10799</v>
      </c>
      <c r="R21" s="2">
        <v>11080</v>
      </c>
      <c r="S21" s="2">
        <f t="shared" si="17"/>
        <v>1.2843365784542255E-2</v>
      </c>
      <c r="T21" s="2">
        <f>SUM(Q21:R21)/E21</f>
        <v>0.39154944700955652</v>
      </c>
      <c r="V21" s="2">
        <v>9700</v>
      </c>
      <c r="W21" s="2">
        <v>8679</v>
      </c>
      <c r="X21" s="2">
        <f t="shared" si="18"/>
        <v>5.5552532781979434E-2</v>
      </c>
      <c r="Y21" s="2">
        <f>SUM(V21:W21)/E21</f>
        <v>0.32891298901177568</v>
      </c>
      <c r="AA21" s="2">
        <v>3419</v>
      </c>
      <c r="AB21" s="2">
        <v>2898</v>
      </c>
      <c r="AC21" s="2">
        <f t="shared" si="19"/>
        <v>8.2475858793731205E-2</v>
      </c>
      <c r="AD21" s="2">
        <f>SUM(AA21:AB21)/E21</f>
        <v>0.11304985862056624</v>
      </c>
      <c r="AF21" s="2">
        <v>447</v>
      </c>
      <c r="AG21" s="2">
        <v>420</v>
      </c>
      <c r="AH21" s="2">
        <f t="shared" si="20"/>
        <v>3.1141868512110725E-2</v>
      </c>
      <c r="AI21" s="2">
        <f>SUM(AF21:AG21)/E21</f>
        <v>1.551594545259315E-2</v>
      </c>
      <c r="AK21" s="2">
        <v>37</v>
      </c>
      <c r="AL21" s="2">
        <v>370</v>
      </c>
      <c r="AM21" s="2">
        <v>1180</v>
      </c>
      <c r="AN21" s="2">
        <v>683</v>
      </c>
      <c r="AO21" s="2">
        <v>223</v>
      </c>
      <c r="AP21" s="2">
        <v>20</v>
      </c>
      <c r="AQ21" s="2">
        <f t="shared" si="21"/>
        <v>2513</v>
      </c>
      <c r="AR21" s="2">
        <f>AQ21/E21</f>
        <v>4.497297684240667E-2</v>
      </c>
    </row>
    <row r="22" spans="1:44" x14ac:dyDescent="0.2">
      <c r="A22" s="2" t="s">
        <v>43</v>
      </c>
      <c r="C22" s="2">
        <f t="shared" si="4"/>
        <v>0</v>
      </c>
      <c r="E22" s="2">
        <f>G22+H22++L22+F22+M22+Q22+R22+V22+W22+AA22+AB22+AF22+AG22</f>
        <v>42246</v>
      </c>
      <c r="G22" s="2">
        <v>155</v>
      </c>
      <c r="H22" s="2">
        <v>161</v>
      </c>
      <c r="I22" s="2">
        <f>(H22-G22)/SUM(G22:H22)</f>
        <v>1.8987341772151899E-2</v>
      </c>
      <c r="J22" s="2">
        <f>SUM(F22:H22)/$E22</f>
        <v>7.4799981063295934E-3</v>
      </c>
      <c r="L22" s="2">
        <v>2188</v>
      </c>
      <c r="M22" s="2">
        <v>2341</v>
      </c>
      <c r="N22" s="2">
        <f t="shared" si="16"/>
        <v>3.3782291896665928E-2</v>
      </c>
      <c r="O22" s="2">
        <f>SUM(L22:M22)/E22</f>
        <v>0.10720541589736306</v>
      </c>
      <c r="Q22" s="2">
        <v>9065</v>
      </c>
      <c r="R22" s="2">
        <v>9116</v>
      </c>
      <c r="S22" s="2">
        <f t="shared" si="17"/>
        <v>2.8051262306803804E-3</v>
      </c>
      <c r="T22" s="2">
        <f>SUM(Q22:R22)/E22</f>
        <v>0.43036027079486816</v>
      </c>
      <c r="V22" s="2">
        <v>7961</v>
      </c>
      <c r="W22" s="2">
        <v>7076</v>
      </c>
      <c r="X22" s="2">
        <f t="shared" si="18"/>
        <v>5.885482476557824E-2</v>
      </c>
      <c r="Y22" s="2">
        <f>SUM(V22:W22)/E22</f>
        <v>0.35593902381290538</v>
      </c>
      <c r="AA22" s="2">
        <v>2075</v>
      </c>
      <c r="AB22" s="2">
        <v>1763</v>
      </c>
      <c r="AC22" s="2">
        <f t="shared" si="19"/>
        <v>8.1292339760291821E-2</v>
      </c>
      <c r="AD22" s="2">
        <f>SUM(AA22:AB22)/E22</f>
        <v>9.0848837759787915E-2</v>
      </c>
      <c r="AF22" s="2">
        <v>164</v>
      </c>
      <c r="AG22" s="2">
        <v>181</v>
      </c>
      <c r="AH22" s="2">
        <f t="shared" si="20"/>
        <v>-4.9275362318840582E-2</v>
      </c>
      <c r="AI22" s="2">
        <f>SUM(AF22:AG22)/E22</f>
        <v>8.166453628745917E-3</v>
      </c>
      <c r="AK22" s="2">
        <v>7</v>
      </c>
      <c r="AL22" s="2">
        <v>228</v>
      </c>
      <c r="AM22" s="2">
        <v>953</v>
      </c>
      <c r="AN22" s="2">
        <v>536</v>
      </c>
      <c r="AO22" s="2">
        <v>109</v>
      </c>
      <c r="AP22" s="2">
        <v>8</v>
      </c>
      <c r="AQ22" s="2">
        <f t="shared" si="21"/>
        <v>1841</v>
      </c>
      <c r="AR22" s="2">
        <f>AQ22/E22</f>
        <v>4.357809023339488E-2</v>
      </c>
    </row>
    <row r="23" spans="1:44" x14ac:dyDescent="0.2">
      <c r="A23" s="2" t="s">
        <v>44</v>
      </c>
      <c r="C23" s="2">
        <f t="shared" si="4"/>
        <v>0</v>
      </c>
      <c r="E23" s="2">
        <f>G23+H23++L23+F23+M23+Q23+R23+V23+W23+AA23+AB23+AF23+AG23</f>
        <v>23698</v>
      </c>
      <c r="G23" s="2">
        <v>22</v>
      </c>
      <c r="H23" s="2">
        <v>23</v>
      </c>
      <c r="I23" s="2">
        <f>(H23-G23)/SUM(G23:H23)</f>
        <v>2.2222222222222223E-2</v>
      </c>
      <c r="J23" s="2">
        <f>SUM(F23:H23)/$E23</f>
        <v>1.8988944214701662E-3</v>
      </c>
      <c r="L23" s="2">
        <v>688</v>
      </c>
      <c r="M23" s="2">
        <v>698</v>
      </c>
      <c r="N23" s="2">
        <f t="shared" si="16"/>
        <v>7.215007215007215E-3</v>
      </c>
      <c r="O23" s="2">
        <f>SUM(L23:M23)/E23</f>
        <v>5.8485948181281118E-2</v>
      </c>
      <c r="Q23" s="2">
        <v>5793</v>
      </c>
      <c r="R23" s="2">
        <v>5737</v>
      </c>
      <c r="S23" s="2">
        <f t="shared" si="17"/>
        <v>-4.8568950563746749E-3</v>
      </c>
      <c r="T23" s="2">
        <f>SUM(Q23:R23)/E23</f>
        <v>0.48653894843446704</v>
      </c>
      <c r="V23" s="2">
        <v>5008</v>
      </c>
      <c r="W23" s="2">
        <v>4381</v>
      </c>
      <c r="X23" s="2">
        <f t="shared" si="18"/>
        <v>6.6780274789647459E-2</v>
      </c>
      <c r="Y23" s="2">
        <f>SUM(V23:W23)/E23</f>
        <v>0.3961937716262976</v>
      </c>
      <c r="AA23" s="2">
        <v>656</v>
      </c>
      <c r="AB23" s="2">
        <v>625</v>
      </c>
      <c r="AC23" s="2">
        <f t="shared" si="19"/>
        <v>2.4199843871975019E-2</v>
      </c>
      <c r="AD23" s="2">
        <f>SUM(AA23:AB23)/E23</f>
        <v>5.4055194531184063E-2</v>
      </c>
      <c r="AF23" s="2">
        <v>32</v>
      </c>
      <c r="AG23" s="2">
        <v>35</v>
      </c>
      <c r="AH23" s="2">
        <f t="shared" si="20"/>
        <v>-4.4776119402985072E-2</v>
      </c>
      <c r="AI23" s="2">
        <f>SUM(AF23:AG23)/E23</f>
        <v>2.8272428053000252E-3</v>
      </c>
      <c r="AK23" s="2">
        <v>1</v>
      </c>
      <c r="AL23" s="2">
        <v>62</v>
      </c>
      <c r="AM23" s="2">
        <v>576</v>
      </c>
      <c r="AN23" s="2">
        <v>275</v>
      </c>
      <c r="AO23" s="2">
        <v>38</v>
      </c>
      <c r="AP23" s="2">
        <v>1</v>
      </c>
      <c r="AQ23" s="2">
        <f t="shared" si="21"/>
        <v>953</v>
      </c>
      <c r="AR23" s="2">
        <f>AQ23/E23</f>
        <v>4.0214364081357076E-2</v>
      </c>
    </row>
    <row r="24" spans="1:44" x14ac:dyDescent="0.2">
      <c r="A24" s="2" t="s">
        <v>45</v>
      </c>
      <c r="C24" s="2">
        <f t="shared" si="4"/>
        <v>0</v>
      </c>
      <c r="E24" s="2">
        <f>G24+H24++L24+F24+M24+Q24+R24+V24+W24+AA24+AB24+AF24+AG24</f>
        <v>94751</v>
      </c>
      <c r="G24" s="2">
        <v>1237</v>
      </c>
      <c r="H24" s="2">
        <v>1348</v>
      </c>
      <c r="I24" s="2">
        <f>(H24-G24)/SUM(G24:H24)</f>
        <v>4.2940038684719538E-2</v>
      </c>
      <c r="J24" s="2">
        <f>SUM(F24:H24)/$E24</f>
        <v>2.7282033962702242E-2</v>
      </c>
      <c r="L24" s="2">
        <v>10761</v>
      </c>
      <c r="M24" s="2">
        <v>10078</v>
      </c>
      <c r="N24" s="2">
        <f t="shared" si="16"/>
        <v>-3.2775085176831899E-2</v>
      </c>
      <c r="O24" s="2">
        <f>SUM(L24:M24)/E24</f>
        <v>0.21993435425483637</v>
      </c>
      <c r="Q24" s="2">
        <v>15838</v>
      </c>
      <c r="R24" s="2">
        <v>15197</v>
      </c>
      <c r="S24" s="2">
        <f t="shared" si="17"/>
        <v>-2.0654100209440952E-2</v>
      </c>
      <c r="T24" s="2">
        <f>SUM(Q24:R24)/E24</f>
        <v>0.32754271722725881</v>
      </c>
      <c r="V24" s="2">
        <v>12952</v>
      </c>
      <c r="W24" s="2">
        <v>11992</v>
      </c>
      <c r="X24" s="2">
        <f t="shared" si="18"/>
        <v>3.8486209108402822E-2</v>
      </c>
      <c r="Y24" s="2">
        <f>SUM(V24:W24)/E24</f>
        <v>0.26325843526717396</v>
      </c>
      <c r="AA24" s="2">
        <v>7306</v>
      </c>
      <c r="AB24" s="2">
        <v>6804</v>
      </c>
      <c r="AC24" s="2">
        <f t="shared" si="19"/>
        <v>3.5577604535790217E-2</v>
      </c>
      <c r="AD24" s="2">
        <f>SUM(AA24:AB24)/E24</f>
        <v>0.14891663412523351</v>
      </c>
      <c r="AF24" s="2">
        <v>614</v>
      </c>
      <c r="AG24" s="2">
        <v>624</v>
      </c>
      <c r="AH24" s="2">
        <f t="shared" si="20"/>
        <v>-8.0775444264943458E-3</v>
      </c>
      <c r="AI24" s="2">
        <f>SUM(AF24:AG24)/E24</f>
        <v>1.3065825162795116E-2</v>
      </c>
      <c r="AK24" s="2">
        <v>144</v>
      </c>
      <c r="AL24" s="2">
        <v>909</v>
      </c>
      <c r="AM24" s="2">
        <v>1254</v>
      </c>
      <c r="AN24" s="2">
        <v>873</v>
      </c>
      <c r="AO24" s="2">
        <v>423</v>
      </c>
      <c r="AP24" s="2">
        <v>171</v>
      </c>
      <c r="AQ24" s="2">
        <f t="shared" si="21"/>
        <v>3774</v>
      </c>
      <c r="AR24" s="2">
        <f>AQ24/E24</f>
        <v>3.9830714187713057E-2</v>
      </c>
    </row>
    <row r="25" spans="1:44" x14ac:dyDescent="0.2">
      <c r="A25" s="2" t="s">
        <v>46</v>
      </c>
      <c r="C25" s="2">
        <f t="shared" si="4"/>
        <v>0</v>
      </c>
      <c r="E25" s="2">
        <f>G25+H25++L25+F25+M25+Q25+R25+V25+W25+AA25+AB25+AF25+AG25</f>
        <v>129678</v>
      </c>
      <c r="G25" s="2">
        <v>6503</v>
      </c>
      <c r="H25" s="2">
        <v>6346</v>
      </c>
      <c r="I25" s="2">
        <f>(H25-G25)/SUM(G25:H25)</f>
        <v>-1.22188497159312E-2</v>
      </c>
      <c r="J25" s="2">
        <f>SUM(F25:H25)/$E25</f>
        <v>9.9083884699023739E-2</v>
      </c>
      <c r="L25" s="2">
        <v>15493</v>
      </c>
      <c r="M25" s="2">
        <v>14749</v>
      </c>
      <c r="N25" s="2">
        <f t="shared" si="16"/>
        <v>-2.460154751669863E-2</v>
      </c>
      <c r="O25" s="2">
        <f>SUM(L25:M25)/E25</f>
        <v>0.23320840851956384</v>
      </c>
      <c r="Q25" s="2">
        <v>14597</v>
      </c>
      <c r="R25" s="2">
        <v>13862</v>
      </c>
      <c r="S25" s="2">
        <f t="shared" si="17"/>
        <v>-2.5826627780315543E-2</v>
      </c>
      <c r="T25" s="2">
        <f>SUM(Q25:R25)/E25</f>
        <v>0.2194589675966625</v>
      </c>
      <c r="V25" s="2">
        <v>13291</v>
      </c>
      <c r="W25" s="2">
        <v>12369</v>
      </c>
      <c r="X25" s="2">
        <f t="shared" si="18"/>
        <v>3.5931410756040533E-2</v>
      </c>
      <c r="Y25" s="2">
        <f>SUM(V25:W25)/E25</f>
        <v>0.19787473588426718</v>
      </c>
      <c r="AA25" s="2">
        <v>12597</v>
      </c>
      <c r="AB25" s="2">
        <v>11709</v>
      </c>
      <c r="AC25" s="2">
        <f t="shared" si="19"/>
        <v>3.6534189089113801E-2</v>
      </c>
      <c r="AD25" s="2">
        <f>SUM(AA25:AB25)/E25</f>
        <v>0.18743348910378013</v>
      </c>
      <c r="AF25" s="2">
        <v>4376</v>
      </c>
      <c r="AG25" s="2">
        <v>3786</v>
      </c>
      <c r="AH25" s="2">
        <f t="shared" si="20"/>
        <v>7.2286204361676057E-2</v>
      </c>
      <c r="AI25" s="2">
        <f>SUM(AF25:AG25)/E25</f>
        <v>6.2940514196702602E-2</v>
      </c>
      <c r="AK25" s="2">
        <v>597</v>
      </c>
      <c r="AL25" s="2">
        <v>1303</v>
      </c>
      <c r="AM25" s="2">
        <v>1161</v>
      </c>
      <c r="AN25" s="2">
        <v>921</v>
      </c>
      <c r="AO25" s="2">
        <v>839</v>
      </c>
      <c r="AP25" s="2">
        <v>411</v>
      </c>
      <c r="AQ25" s="2">
        <f t="shared" si="21"/>
        <v>5232</v>
      </c>
      <c r="AR25" s="2">
        <f>AQ25/E25</f>
        <v>4.0346088002591034E-2</v>
      </c>
    </row>
    <row r="26" spans="1:44" x14ac:dyDescent="0.2">
      <c r="A26" s="2" t="s">
        <v>47</v>
      </c>
      <c r="C26" s="2">
        <f t="shared" si="4"/>
        <v>0</v>
      </c>
      <c r="E26" s="2">
        <f>G26+H26++L26+F26+M26+Q26+R26+V26+W26+AA26+AB26+AF26+AG26</f>
        <v>23868</v>
      </c>
      <c r="G26" s="2">
        <v>22</v>
      </c>
      <c r="H26" s="2">
        <v>23</v>
      </c>
      <c r="I26" s="2">
        <f>(H26-G26)/SUM(G26:H26)</f>
        <v>2.2222222222222223E-2</v>
      </c>
      <c r="J26" s="2">
        <f>SUM(F26:H26)/$E26</f>
        <v>1.885369532428356E-3</v>
      </c>
      <c r="L26" s="2">
        <v>709</v>
      </c>
      <c r="M26" s="2">
        <v>678</v>
      </c>
      <c r="N26" s="2">
        <f t="shared" si="16"/>
        <v>-2.2350396539293438E-2</v>
      </c>
      <c r="O26" s="2">
        <f>SUM(L26:M26)/E26</f>
        <v>5.8111278699513991E-2</v>
      </c>
      <c r="Q26" s="2">
        <v>5866</v>
      </c>
      <c r="R26" s="2">
        <v>5762</v>
      </c>
      <c r="S26" s="2">
        <f t="shared" si="17"/>
        <v>-8.9439284485724121E-3</v>
      </c>
      <c r="T26" s="2">
        <f>SUM(Q26:R26)/E26</f>
        <v>0.48717948717948717</v>
      </c>
      <c r="V26" s="2">
        <v>4987</v>
      </c>
      <c r="W26" s="2">
        <v>4454</v>
      </c>
      <c r="X26" s="2">
        <f t="shared" si="18"/>
        <v>5.6455883910602689E-2</v>
      </c>
      <c r="Y26" s="2">
        <f>SUM(V26:W26)/E26</f>
        <v>0.39555052790346906</v>
      </c>
      <c r="AA26" s="2">
        <v>678</v>
      </c>
      <c r="AB26" s="2">
        <v>621</v>
      </c>
      <c r="AC26" s="2">
        <f t="shared" si="19"/>
        <v>4.3879907621247112E-2</v>
      </c>
      <c r="AD26" s="2">
        <f>SUM(AA26:AB26)/E26</f>
        <v>5.4424333836098543E-2</v>
      </c>
      <c r="AF26" s="2">
        <v>34</v>
      </c>
      <c r="AG26" s="2">
        <v>34</v>
      </c>
      <c r="AH26" s="2">
        <f t="shared" si="20"/>
        <v>0</v>
      </c>
      <c r="AI26" s="2">
        <f>SUM(AF26:AG26)/E26</f>
        <v>2.8490028490028491E-3</v>
      </c>
      <c r="AK26" s="2">
        <v>1</v>
      </c>
      <c r="AL26" s="2">
        <v>58</v>
      </c>
      <c r="AM26" s="2">
        <v>475</v>
      </c>
      <c r="AN26" s="2">
        <v>227</v>
      </c>
      <c r="AO26" s="2">
        <v>26</v>
      </c>
      <c r="AP26" s="2">
        <v>0</v>
      </c>
      <c r="AQ26" s="2">
        <f t="shared" si="21"/>
        <v>787</v>
      </c>
      <c r="AR26" s="2">
        <f>AQ26/E26</f>
        <v>3.2973018267135917E-2</v>
      </c>
    </row>
    <row r="27" spans="1:44" x14ac:dyDescent="0.2">
      <c r="A27" s="2" t="s">
        <v>48</v>
      </c>
      <c r="C27" s="2">
        <f t="shared" si="4"/>
        <v>0</v>
      </c>
      <c r="E27" s="2">
        <f>G27+H27++L27+F27+M27+Q27+R27+V27+W27+AA27+AB27+AF27+AG27</f>
        <v>42561</v>
      </c>
      <c r="G27" s="2">
        <v>149</v>
      </c>
      <c r="H27" s="2">
        <v>163</v>
      </c>
      <c r="I27" s="2">
        <f>(H27-G27)/SUM(G27:H27)</f>
        <v>4.4871794871794872E-2</v>
      </c>
      <c r="J27" s="2">
        <f>SUM(F27:H27)/$E27</f>
        <v>7.3306548248396417E-3</v>
      </c>
      <c r="L27" s="2">
        <v>2274</v>
      </c>
      <c r="M27" s="2">
        <v>2293</v>
      </c>
      <c r="N27" s="2">
        <f t="shared" si="16"/>
        <v>4.1602802715130279E-3</v>
      </c>
      <c r="O27" s="2">
        <f>SUM(L27:M27)/E27</f>
        <v>0.10730480956744437</v>
      </c>
      <c r="Q27" s="2">
        <v>9168</v>
      </c>
      <c r="R27" s="2">
        <v>9162</v>
      </c>
      <c r="S27" s="2">
        <f t="shared" si="17"/>
        <v>-3.2733224222585927E-4</v>
      </c>
      <c r="T27" s="2">
        <f>SUM(Q27:R27)/E27</f>
        <v>0.43067597095932897</v>
      </c>
      <c r="V27" s="2">
        <v>7946</v>
      </c>
      <c r="W27" s="2">
        <v>7172</v>
      </c>
      <c r="X27" s="2">
        <f t="shared" si="18"/>
        <v>5.1197248313268953E-2</v>
      </c>
      <c r="Y27" s="2">
        <f>SUM(V27:W27)/E27</f>
        <v>0.3552078193651465</v>
      </c>
      <c r="AA27" s="2">
        <v>2092</v>
      </c>
      <c r="AB27" s="2">
        <v>1791</v>
      </c>
      <c r="AC27" s="2">
        <f t="shared" si="19"/>
        <v>7.7517383466391962E-2</v>
      </c>
      <c r="AD27" s="2">
        <f>SUM(AA27:AB27)/E27</f>
        <v>9.1233758605295923E-2</v>
      </c>
      <c r="AF27" s="2">
        <v>174</v>
      </c>
      <c r="AG27" s="2">
        <v>177</v>
      </c>
      <c r="AH27" s="2">
        <f t="shared" si="20"/>
        <v>-8.5470085470085479E-3</v>
      </c>
      <c r="AI27" s="2">
        <f>SUM(AF27:AG27)/E27</f>
        <v>8.2469866779445976E-3</v>
      </c>
      <c r="AK27" s="2">
        <v>10</v>
      </c>
      <c r="AL27" s="2">
        <v>188</v>
      </c>
      <c r="AM27" s="2">
        <v>795</v>
      </c>
      <c r="AN27" s="2">
        <v>454</v>
      </c>
      <c r="AO27" s="2">
        <v>80</v>
      </c>
      <c r="AP27" s="2">
        <v>5</v>
      </c>
      <c r="AQ27" s="2">
        <f t="shared" si="21"/>
        <v>1532</v>
      </c>
      <c r="AR27" s="2">
        <f>AQ27/E27</f>
        <v>3.5995394845045936E-2</v>
      </c>
    </row>
    <row r="28" spans="1:44" x14ac:dyDescent="0.2">
      <c r="A28" s="1" t="s">
        <v>49</v>
      </c>
      <c r="B28" s="1"/>
      <c r="C28" s="1">
        <f t="shared" si="4"/>
        <v>1</v>
      </c>
      <c r="E28" s="2">
        <f>G28+H28++L28+F28+M28+Q28+R28+V28+W28+AA28+AB28+AF28+AG28</f>
        <v>56315</v>
      </c>
      <c r="G28" s="2">
        <v>432</v>
      </c>
      <c r="H28" s="2">
        <v>453</v>
      </c>
      <c r="I28" s="2">
        <f>(H28-G28)/SUM(G28:H28)</f>
        <v>2.3728813559322035E-2</v>
      </c>
      <c r="J28" s="2">
        <f>SUM(F28:H28)/$E28</f>
        <v>1.5715173577199679E-2</v>
      </c>
      <c r="L28" s="2">
        <v>3786</v>
      </c>
      <c r="M28" s="2">
        <v>3822</v>
      </c>
      <c r="N28" s="2">
        <f t="shared" si="16"/>
        <v>4.7318611987381704E-3</v>
      </c>
      <c r="O28" s="2">
        <f>SUM(L28:M28)/E28</f>
        <v>0.13509722098907928</v>
      </c>
      <c r="Q28" s="2">
        <v>10996</v>
      </c>
      <c r="R28" s="2">
        <v>11069</v>
      </c>
      <c r="S28" s="2">
        <f t="shared" si="17"/>
        <v>3.3084069793791072E-3</v>
      </c>
      <c r="T28" s="2">
        <f>SUM(Q28:R28)/E28</f>
        <v>0.39181390393323273</v>
      </c>
      <c r="V28" s="2">
        <v>9726</v>
      </c>
      <c r="W28" s="2">
        <v>8791</v>
      </c>
      <c r="X28" s="2">
        <f t="shared" si="18"/>
        <v>5.0494140519522598E-2</v>
      </c>
      <c r="Y28" s="2">
        <f>SUM(V28:W28)/E28</f>
        <v>0.3288111515581994</v>
      </c>
      <c r="AA28" s="2">
        <v>3443</v>
      </c>
      <c r="AB28" s="2">
        <v>2927</v>
      </c>
      <c r="AC28" s="2">
        <f t="shared" si="19"/>
        <v>8.1004709576138145E-2</v>
      </c>
      <c r="AD28" s="2">
        <f>SUM(AA28:AB28)/E28</f>
        <v>0.11311373523927906</v>
      </c>
      <c r="AF28" s="2">
        <v>457</v>
      </c>
      <c r="AG28" s="2">
        <v>413</v>
      </c>
      <c r="AH28" s="2">
        <f t="shared" si="20"/>
        <v>5.057471264367816E-2</v>
      </c>
      <c r="AI28" s="2">
        <f>SUM(AF28:AG28)/E28</f>
        <v>1.5448814703009855E-2</v>
      </c>
      <c r="AK28" s="2">
        <v>34</v>
      </c>
      <c r="AL28" s="2">
        <v>311</v>
      </c>
      <c r="AM28" s="2">
        <v>981</v>
      </c>
      <c r="AN28" s="2">
        <v>550</v>
      </c>
      <c r="AO28" s="2">
        <v>189</v>
      </c>
      <c r="AP28" s="2">
        <v>20</v>
      </c>
      <c r="AQ28" s="2">
        <f t="shared" si="21"/>
        <v>2085</v>
      </c>
      <c r="AR28" s="2">
        <f>AQ28/E28</f>
        <v>3.702388351238569E-2</v>
      </c>
    </row>
    <row r="29" spans="1:44" x14ac:dyDescent="0.2">
      <c r="A29" s="1" t="s">
        <v>50</v>
      </c>
      <c r="B29" s="1"/>
      <c r="C29" s="1">
        <f t="shared" si="4"/>
        <v>1</v>
      </c>
      <c r="E29" s="2">
        <f>G29+H29++L29+F29+M29+Q29+R29+V29+W29+AA29+AB29+AF29+AG29</f>
        <v>77690</v>
      </c>
      <c r="G29" s="2">
        <v>1463</v>
      </c>
      <c r="H29" s="2">
        <v>1524</v>
      </c>
      <c r="I29" s="2">
        <f>(H29-G29)/SUM(G29:H29)</f>
        <v>2.0421827920990961E-2</v>
      </c>
      <c r="J29" s="2">
        <f>SUM(F29:H29)/$E29</f>
        <v>3.8447676663663277E-2</v>
      </c>
      <c r="L29" s="2">
        <v>6534</v>
      </c>
      <c r="M29" s="2">
        <v>6621</v>
      </c>
      <c r="N29" s="2">
        <f t="shared" si="16"/>
        <v>6.6134549600912204E-3</v>
      </c>
      <c r="O29" s="2">
        <f>SUM(L29:M29)/E29</f>
        <v>0.16932681168747588</v>
      </c>
      <c r="Q29" s="2">
        <v>12989</v>
      </c>
      <c r="R29" s="2">
        <v>12701</v>
      </c>
      <c r="S29" s="2">
        <f t="shared" si="17"/>
        <v>-1.1210587777345271E-2</v>
      </c>
      <c r="T29" s="2">
        <f>SUM(Q29:R29)/E29</f>
        <v>0.33067318831252412</v>
      </c>
      <c r="V29" s="2">
        <v>11698</v>
      </c>
      <c r="W29" s="2">
        <v>10414</v>
      </c>
      <c r="X29" s="2">
        <f t="shared" si="18"/>
        <v>5.8068017366136038E-2</v>
      </c>
      <c r="Y29" s="2">
        <f>SUM(V29:W29)/E29</f>
        <v>0.28461835500064359</v>
      </c>
      <c r="AA29" s="2">
        <v>5839</v>
      </c>
      <c r="AB29" s="2">
        <v>5237</v>
      </c>
      <c r="AC29" s="2">
        <f t="shared" si="19"/>
        <v>5.4351751534850126E-2</v>
      </c>
      <c r="AD29" s="2">
        <f>SUM(AA29:AB29)/E29</f>
        <v>0.14256661088943237</v>
      </c>
      <c r="AF29" s="2">
        <v>1459</v>
      </c>
      <c r="AG29" s="2">
        <v>1211</v>
      </c>
      <c r="AH29" s="2">
        <f t="shared" si="20"/>
        <v>9.2883895131086136E-2</v>
      </c>
      <c r="AI29" s="2">
        <f>SUM(AF29:AG29)/E29</f>
        <v>3.4367357446260779E-2</v>
      </c>
      <c r="AK29" s="2">
        <v>117</v>
      </c>
      <c r="AL29" s="2">
        <v>589</v>
      </c>
      <c r="AM29" s="2">
        <v>1123</v>
      </c>
      <c r="AN29" s="2">
        <v>796</v>
      </c>
      <c r="AO29" s="2">
        <v>348</v>
      </c>
      <c r="AP29" s="2">
        <v>64</v>
      </c>
      <c r="AQ29" s="2">
        <f t="shared" si="21"/>
        <v>3037</v>
      </c>
      <c r="AR29" s="2">
        <f>AQ29/E29</f>
        <v>3.9091260136439696E-2</v>
      </c>
    </row>
    <row r="30" spans="1:44" x14ac:dyDescent="0.2">
      <c r="A30" s="2" t="s">
        <v>51</v>
      </c>
      <c r="C30" s="2">
        <f t="shared" si="4"/>
        <v>0</v>
      </c>
      <c r="E30" s="2">
        <f>G30+H30++L30+F30+M30+Q30+R30+V30+W30+AA30+AB30+AF30+AG30</f>
        <v>59642</v>
      </c>
      <c r="G30" s="2">
        <v>355</v>
      </c>
      <c r="H30" s="2">
        <v>387</v>
      </c>
      <c r="I30" s="2">
        <f>(H30-G30)/SUM(G30:H30)</f>
        <v>4.3126684636118601E-2</v>
      </c>
      <c r="J30" s="2">
        <f>SUM(F30:H30)/$E30</f>
        <v>1.2440897354213474E-2</v>
      </c>
      <c r="L30" s="2">
        <v>3967</v>
      </c>
      <c r="M30" s="2">
        <v>4188</v>
      </c>
      <c r="N30" s="2">
        <f t="shared" si="16"/>
        <v>2.7099938687921519E-2</v>
      </c>
      <c r="O30" s="2">
        <f>SUM(L30:M30)/E30</f>
        <v>0.13673250394017639</v>
      </c>
      <c r="Q30" s="2">
        <v>11569</v>
      </c>
      <c r="R30" s="2">
        <v>11861</v>
      </c>
      <c r="S30" s="2">
        <f t="shared" si="17"/>
        <v>1.2462654716175843E-2</v>
      </c>
      <c r="T30" s="2">
        <f>SUM(Q30:R30)/E30</f>
        <v>0.39284396901512358</v>
      </c>
      <c r="V30" s="2">
        <v>10494</v>
      </c>
      <c r="W30" s="2">
        <v>9227</v>
      </c>
      <c r="X30" s="2">
        <f t="shared" si="18"/>
        <v>6.4246234977942296E-2</v>
      </c>
      <c r="Y30" s="2">
        <f>SUM(V30:W30)/E30</f>
        <v>0.33065624895208073</v>
      </c>
      <c r="AA30" s="2">
        <v>3709</v>
      </c>
      <c r="AB30" s="2">
        <v>3144</v>
      </c>
      <c r="AC30" s="2">
        <f t="shared" si="19"/>
        <v>8.2445644243397051E-2</v>
      </c>
      <c r="AD30" s="2">
        <f>SUM(AA30:AB30)/E30</f>
        <v>0.1149022500922169</v>
      </c>
      <c r="AF30" s="2">
        <v>371</v>
      </c>
      <c r="AG30" s="2">
        <v>370</v>
      </c>
      <c r="AH30" s="2">
        <f t="shared" si="20"/>
        <v>1.3495276653171389E-3</v>
      </c>
      <c r="AI30" s="2">
        <f>SUM(AF30:AG30)/E30</f>
        <v>1.2424130646188927E-2</v>
      </c>
      <c r="AK30" s="2">
        <v>28</v>
      </c>
      <c r="AL30" s="2">
        <v>427</v>
      </c>
      <c r="AM30" s="2">
        <v>1256</v>
      </c>
      <c r="AN30" s="2">
        <v>813</v>
      </c>
      <c r="AO30" s="2">
        <v>238</v>
      </c>
      <c r="AP30" s="2">
        <v>16</v>
      </c>
      <c r="AQ30" s="2">
        <f t="shared" si="21"/>
        <v>2778</v>
      </c>
      <c r="AR30" s="2">
        <f>AQ30/E30</f>
        <v>4.657791489219007E-2</v>
      </c>
    </row>
    <row r="31" spans="1:44" x14ac:dyDescent="0.2">
      <c r="A31" s="1" t="s">
        <v>52</v>
      </c>
      <c r="B31" s="1"/>
      <c r="C31" s="1">
        <f t="shared" si="4"/>
        <v>0</v>
      </c>
      <c r="E31" s="2">
        <f>G31+H31++L31+F31+M31+Q31+R31+V31+W31+AA31+AB31+AF31+AG31</f>
        <v>76303</v>
      </c>
      <c r="G31" s="2">
        <v>507</v>
      </c>
      <c r="H31" s="2">
        <v>539</v>
      </c>
      <c r="I31" s="2">
        <f>(H31-G31)/SUM(G31:H31)</f>
        <v>3.0592734225621414E-2</v>
      </c>
      <c r="J31" s="2">
        <f>SUM(F31:H31)/$E31</f>
        <v>1.3708504252781674E-2</v>
      </c>
      <c r="L31" s="2">
        <v>6194</v>
      </c>
      <c r="M31" s="2">
        <v>6474</v>
      </c>
      <c r="N31" s="2">
        <f t="shared" si="16"/>
        <v>2.2102936532996525E-2</v>
      </c>
      <c r="O31" s="2">
        <f>SUM(L31:M31)/E31</f>
        <v>0.16602230580711111</v>
      </c>
      <c r="Q31" s="2">
        <v>14350</v>
      </c>
      <c r="R31" s="2">
        <v>14325</v>
      </c>
      <c r="S31" s="2">
        <f t="shared" si="17"/>
        <v>-8.7183958151700091E-4</v>
      </c>
      <c r="T31" s="2">
        <f>SUM(Q31:R31)/E31</f>
        <v>0.37580435893739433</v>
      </c>
      <c r="V31" s="2">
        <v>12107</v>
      </c>
      <c r="W31" s="2">
        <v>10977</v>
      </c>
      <c r="X31" s="2">
        <f t="shared" si="18"/>
        <v>4.8951654825853404E-2</v>
      </c>
      <c r="Y31" s="2">
        <f>SUM(V31:W31)/E31</f>
        <v>0.30253069997247817</v>
      </c>
      <c r="AA31" s="2">
        <v>5328</v>
      </c>
      <c r="AB31" s="2">
        <v>4581</v>
      </c>
      <c r="AC31" s="2">
        <f t="shared" si="19"/>
        <v>7.5386012715712991E-2</v>
      </c>
      <c r="AD31" s="2">
        <f>SUM(AA31:AB31)/E31</f>
        <v>0.12986383235259427</v>
      </c>
      <c r="AF31" s="2">
        <v>496</v>
      </c>
      <c r="AG31" s="2">
        <v>425</v>
      </c>
      <c r="AH31" s="2">
        <f t="shared" si="20"/>
        <v>7.7090119435396315E-2</v>
      </c>
      <c r="AI31" s="2">
        <f>SUM(AF31:AG31)/E31</f>
        <v>1.207029867764046E-2</v>
      </c>
      <c r="AK31" s="2">
        <v>42</v>
      </c>
      <c r="AL31" s="2">
        <v>687</v>
      </c>
      <c r="AM31" s="2">
        <v>1598</v>
      </c>
      <c r="AN31" s="2">
        <v>1067</v>
      </c>
      <c r="AO31" s="2">
        <v>333</v>
      </c>
      <c r="AP31" s="2">
        <v>20</v>
      </c>
      <c r="AQ31" s="2">
        <f t="shared" si="21"/>
        <v>3747</v>
      </c>
      <c r="AR31" s="2">
        <f>AQ31/E31</f>
        <v>4.9106850320433014E-2</v>
      </c>
    </row>
    <row r="32" spans="1:44" x14ac:dyDescent="0.2">
      <c r="A32" s="2" t="s">
        <v>53</v>
      </c>
      <c r="C32" s="2">
        <f t="shared" si="4"/>
        <v>0</v>
      </c>
      <c r="E32" s="2">
        <f>G32+H32++L32+F32+M32+Q32+R32+V32+W32+AA32+AB32+AF32+AG32</f>
        <v>125614</v>
      </c>
      <c r="G32" s="2">
        <v>6460</v>
      </c>
      <c r="H32" s="2">
        <v>6663</v>
      </c>
      <c r="I32" s="2">
        <f>(H32-G32)/SUM(G32:H32)</f>
        <v>1.5469023851253524E-2</v>
      </c>
      <c r="J32" s="2">
        <f>SUM(F32:H32)/$E32</f>
        <v>0.10447083923766459</v>
      </c>
      <c r="L32" s="2">
        <v>14880</v>
      </c>
      <c r="M32" s="2">
        <v>14505</v>
      </c>
      <c r="N32" s="2">
        <f t="shared" si="16"/>
        <v>-1.2761613067891782E-2</v>
      </c>
      <c r="O32" s="2">
        <f>SUM(L32:M32)/E32</f>
        <v>0.23393093126562325</v>
      </c>
      <c r="Q32" s="2">
        <v>14060</v>
      </c>
      <c r="R32" s="2">
        <v>13664</v>
      </c>
      <c r="S32" s="2">
        <f t="shared" si="17"/>
        <v>-1.4283653152503246E-2</v>
      </c>
      <c r="T32" s="2">
        <f>SUM(Q32:R32)/E32</f>
        <v>0.22070788287929691</v>
      </c>
      <c r="V32" s="2">
        <v>12487</v>
      </c>
      <c r="W32" s="2">
        <v>11676</v>
      </c>
      <c r="X32" s="2">
        <f t="shared" si="18"/>
        <v>3.3563713115093326E-2</v>
      </c>
      <c r="Y32" s="2">
        <f>SUM(V32:W32)/E32</f>
        <v>0.19235913194389159</v>
      </c>
      <c r="AA32" s="2">
        <v>11874</v>
      </c>
      <c r="AB32" s="2">
        <v>11097</v>
      </c>
      <c r="AC32" s="2">
        <f t="shared" si="19"/>
        <v>3.3825257933916678E-2</v>
      </c>
      <c r="AD32" s="2">
        <f>SUM(AA32:AB32)/E32</f>
        <v>0.18286974381836418</v>
      </c>
      <c r="AF32" s="2">
        <v>4491</v>
      </c>
      <c r="AG32" s="2">
        <v>3757</v>
      </c>
      <c r="AH32" s="2">
        <f t="shared" si="20"/>
        <v>8.899127061105723E-2</v>
      </c>
      <c r="AI32" s="2">
        <f>SUM(AF32:AG32)/E32</f>
        <v>6.5661470855159457E-2</v>
      </c>
      <c r="AK32" s="2">
        <v>771</v>
      </c>
      <c r="AL32" s="2">
        <v>1551</v>
      </c>
      <c r="AM32" s="2">
        <v>1392</v>
      </c>
      <c r="AN32" s="2">
        <v>1109</v>
      </c>
      <c r="AO32" s="2">
        <v>925</v>
      </c>
      <c r="AP32" s="2">
        <v>416</v>
      </c>
      <c r="AQ32" s="2">
        <f t="shared" si="21"/>
        <v>6164</v>
      </c>
      <c r="AR32" s="2">
        <f>AQ32/E32</f>
        <v>4.9070963427643416E-2</v>
      </c>
    </row>
    <row r="33" spans="1:44" x14ac:dyDescent="0.2">
      <c r="A33" s="2" t="s">
        <v>54</v>
      </c>
      <c r="C33" s="2">
        <f t="shared" si="4"/>
        <v>0</v>
      </c>
      <c r="E33" s="2">
        <f>G33+H33++L33+F33+M33+Q33+R33+V33+W33+AA33+AB33+AF33+AG33</f>
        <v>126583</v>
      </c>
      <c r="G33" s="2">
        <v>6667</v>
      </c>
      <c r="H33" s="2">
        <v>6570</v>
      </c>
      <c r="I33" s="2">
        <f>(H33-G33)/SUM(G33:H33)</f>
        <v>-7.3279443982775553E-3</v>
      </c>
      <c r="J33" s="2">
        <f>SUM(F33:H33)/$E33</f>
        <v>0.10457170394128754</v>
      </c>
      <c r="L33" s="2">
        <v>15157</v>
      </c>
      <c r="M33" s="2">
        <v>14489</v>
      </c>
      <c r="N33" s="2">
        <f t="shared" si="16"/>
        <v>-2.2532550765701948E-2</v>
      </c>
      <c r="O33" s="2">
        <f>SUM(L33:M33)/E33</f>
        <v>0.23420206504822921</v>
      </c>
      <c r="Q33" s="2">
        <v>14325</v>
      </c>
      <c r="R33" s="2">
        <v>13559</v>
      </c>
      <c r="S33" s="2">
        <f t="shared" si="17"/>
        <v>-2.7470951083058383E-2</v>
      </c>
      <c r="T33" s="2">
        <f>SUM(Q33:R33)/E33</f>
        <v>0.22028234439063699</v>
      </c>
      <c r="V33" s="2">
        <v>12667</v>
      </c>
      <c r="W33" s="2">
        <v>11721</v>
      </c>
      <c r="X33" s="2">
        <f t="shared" si="18"/>
        <v>3.8789568640314909E-2</v>
      </c>
      <c r="Y33" s="2">
        <f>SUM(V33:W33)/E33</f>
        <v>0.19266410181461965</v>
      </c>
      <c r="AA33" s="2">
        <v>11960</v>
      </c>
      <c r="AB33" s="2">
        <v>11201</v>
      </c>
      <c r="AC33" s="2">
        <f t="shared" si="19"/>
        <v>3.2770605759682221E-2</v>
      </c>
      <c r="AD33" s="2">
        <f>SUM(AA33:AB33)/E33</f>
        <v>0.18297085706611471</v>
      </c>
      <c r="AF33" s="2">
        <v>4460</v>
      </c>
      <c r="AG33" s="2">
        <v>3807</v>
      </c>
      <c r="AH33" s="2">
        <f t="shared" si="20"/>
        <v>7.8988750453610743E-2</v>
      </c>
      <c r="AI33" s="2">
        <f>SUM(AF33:AG33)/E33</f>
        <v>6.5308927739111886E-2</v>
      </c>
      <c r="AK33" s="2">
        <v>591</v>
      </c>
      <c r="AL33" s="2">
        <v>1285</v>
      </c>
      <c r="AM33" s="2">
        <v>1243</v>
      </c>
      <c r="AN33" s="2">
        <v>879</v>
      </c>
      <c r="AO33" s="2">
        <v>766</v>
      </c>
      <c r="AP33" s="2">
        <v>390</v>
      </c>
      <c r="AQ33" s="2">
        <f t="shared" si="21"/>
        <v>5154</v>
      </c>
      <c r="AR33" s="2">
        <f>AQ33/E33</f>
        <v>4.0716367916702877E-2</v>
      </c>
    </row>
    <row r="34" spans="1:44" x14ac:dyDescent="0.2">
      <c r="A34" s="1" t="s">
        <v>55</v>
      </c>
      <c r="B34" s="1"/>
      <c r="C34" s="1">
        <f t="shared" si="4"/>
        <v>1</v>
      </c>
      <c r="E34" s="2">
        <f>G34+H34++L34+F34+M34+Q34+R34+V34+W34+AA34+AB34+AF34+AG34</f>
        <v>76955</v>
      </c>
      <c r="G34" s="2">
        <v>525</v>
      </c>
      <c r="H34" s="2">
        <v>527</v>
      </c>
      <c r="I34" s="2">
        <f>(H34-G34)/SUM(G34:H34)</f>
        <v>1.9011406844106464E-3</v>
      </c>
      <c r="J34" s="2">
        <f>SUM(F34:H34)/$E34</f>
        <v>1.3670326814372035E-2</v>
      </c>
      <c r="L34" s="2">
        <v>6328</v>
      </c>
      <c r="M34" s="2">
        <v>6440</v>
      </c>
      <c r="N34" s="2">
        <f t="shared" si="16"/>
        <v>8.771929824561403E-3</v>
      </c>
      <c r="O34" s="2">
        <f>SUM(L34:M34)/E34</f>
        <v>0.16591514521473588</v>
      </c>
      <c r="Q34" s="2">
        <v>14686</v>
      </c>
      <c r="R34" s="2">
        <v>14272</v>
      </c>
      <c r="S34" s="2">
        <f t="shared" si="17"/>
        <v>-1.4296567442502935E-2</v>
      </c>
      <c r="T34" s="2">
        <f>SUM(Q34:R34)/E34</f>
        <v>0.37629783639789488</v>
      </c>
      <c r="V34" s="2">
        <v>12226</v>
      </c>
      <c r="W34" s="2">
        <v>11048</v>
      </c>
      <c r="X34" s="2">
        <f t="shared" si="18"/>
        <v>5.0614419523932287E-2</v>
      </c>
      <c r="Y34" s="2">
        <f>SUM(V34:W34)/E34</f>
        <v>0.30243648885712432</v>
      </c>
      <c r="AA34" s="2">
        <v>5290</v>
      </c>
      <c r="AB34" s="2">
        <v>4688</v>
      </c>
      <c r="AC34" s="2">
        <f t="shared" si="19"/>
        <v>6.0332732010422933E-2</v>
      </c>
      <c r="AD34" s="2">
        <f>SUM(AA34:AB34)/E34</f>
        <v>0.1296601910207264</v>
      </c>
      <c r="AF34" s="2">
        <v>499</v>
      </c>
      <c r="AG34" s="2">
        <v>426</v>
      </c>
      <c r="AH34" s="2">
        <f t="shared" si="20"/>
        <v>7.8918918918918918E-2</v>
      </c>
      <c r="AI34" s="2">
        <f>SUM(AF34:AG34)/E34</f>
        <v>1.2020011695146514E-2</v>
      </c>
      <c r="AK34" s="2">
        <v>36</v>
      </c>
      <c r="AL34" s="2">
        <v>565</v>
      </c>
      <c r="AM34" s="2">
        <v>1304</v>
      </c>
      <c r="AN34" s="2">
        <v>882</v>
      </c>
      <c r="AO34" s="2">
        <v>289</v>
      </c>
      <c r="AP34" s="2">
        <v>19</v>
      </c>
      <c r="AQ34" s="2">
        <f t="shared" si="21"/>
        <v>3095</v>
      </c>
      <c r="AR34" s="2">
        <f>AQ34/E34</f>
        <v>4.0218309401598339E-2</v>
      </c>
    </row>
    <row r="35" spans="1:44" x14ac:dyDescent="0.2">
      <c r="A35" s="2" t="s">
        <v>56</v>
      </c>
      <c r="C35" s="2">
        <f t="shared" si="4"/>
        <v>0</v>
      </c>
      <c r="E35" s="2">
        <f>G35+H35++L35+F35+M35+Q35+R35+V35+W35+AA35+AB35+AF35+AG35</f>
        <v>60147</v>
      </c>
      <c r="G35" s="2">
        <v>357</v>
      </c>
      <c r="H35" s="2">
        <v>384</v>
      </c>
      <c r="I35" s="2">
        <f>(H35-G35)/SUM(G35:H35)</f>
        <v>3.643724696356275E-2</v>
      </c>
      <c r="J35" s="2">
        <f>SUM(F35:H35)/$E35</f>
        <v>1.231981644969824E-2</v>
      </c>
      <c r="L35" s="2">
        <v>4079</v>
      </c>
      <c r="M35" s="2">
        <v>4155</v>
      </c>
      <c r="N35" s="2">
        <f t="shared" si="16"/>
        <v>9.2300218605780911E-3</v>
      </c>
      <c r="O35" s="2">
        <f>SUM(L35:M35)/E35</f>
        <v>0.13689793339651188</v>
      </c>
      <c r="Q35" s="2">
        <v>11835</v>
      </c>
      <c r="R35" s="2">
        <v>11794</v>
      </c>
      <c r="S35" s="2">
        <f t="shared" si="17"/>
        <v>-1.7351559524313345E-3</v>
      </c>
      <c r="T35" s="2">
        <f>SUM(Q35:R35)/E35</f>
        <v>0.39285417394051242</v>
      </c>
      <c r="V35" s="2">
        <v>10524</v>
      </c>
      <c r="W35" s="2">
        <v>9365</v>
      </c>
      <c r="X35" s="2">
        <f t="shared" si="18"/>
        <v>5.8273417466941528E-2</v>
      </c>
      <c r="Y35" s="2">
        <f>SUM(V35:W35)/E35</f>
        <v>0.33067318403245383</v>
      </c>
      <c r="AA35" s="2">
        <v>3718</v>
      </c>
      <c r="AB35" s="2">
        <v>3190</v>
      </c>
      <c r="AC35" s="2">
        <f t="shared" si="19"/>
        <v>7.6433121019108277E-2</v>
      </c>
      <c r="AD35" s="2">
        <f>SUM(AA35:AB35)/E35</f>
        <v>0.11485194606547293</v>
      </c>
      <c r="AF35" s="2">
        <v>384</v>
      </c>
      <c r="AG35" s="2">
        <v>362</v>
      </c>
      <c r="AH35" s="2">
        <f t="shared" si="20"/>
        <v>2.9490616621983913E-2</v>
      </c>
      <c r="AI35" s="2">
        <f>SUM(AF35:AG35)/E35</f>
        <v>1.2402946115350724E-2</v>
      </c>
      <c r="AK35" s="2">
        <v>27</v>
      </c>
      <c r="AL35" s="2">
        <v>354</v>
      </c>
      <c r="AM35" s="2">
        <v>1062</v>
      </c>
      <c r="AN35" s="2">
        <v>656</v>
      </c>
      <c r="AO35" s="2">
        <v>208</v>
      </c>
      <c r="AP35" s="2">
        <v>15</v>
      </c>
      <c r="AQ35" s="2">
        <f t="shared" si="21"/>
        <v>2322</v>
      </c>
      <c r="AR35" s="2">
        <f>AQ35/E35</f>
        <v>3.8605416729013915E-2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Reese</dc:creator>
  <cp:lastModifiedBy>Dean Reese</cp:lastModifiedBy>
  <dcterms:created xsi:type="dcterms:W3CDTF">2024-10-22T19:43:51Z</dcterms:created>
  <dcterms:modified xsi:type="dcterms:W3CDTF">2024-10-22T23:53:11Z</dcterms:modified>
</cp:coreProperties>
</file>